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enndunshea/Documents/GitHub/PG_Coral_LTG/rawdata/"/>
    </mc:Choice>
  </mc:AlternateContent>
  <xr:revisionPtr revIDLastSave="0" documentId="13_ncr:1_{C334BB22-9D21-354F-A191-FBA8DDA95C13}" xr6:coauthVersionLast="47" xr6:coauthVersionMax="47" xr10:uidLastSave="{00000000-0000-0000-0000-000000000000}"/>
  <bookViews>
    <workbookView xWindow="1820" yWindow="760" windowWidth="30320" windowHeight="19880" xr2:uid="{00000000-000D-0000-FFFF-FFFF00000000}"/>
  </bookViews>
  <sheets>
    <sheet name="Bheights" sheetId="1" r:id="rId1"/>
    <sheet name="BheightCalcs" sheetId="2" r:id="rId2"/>
  </sheets>
  <calcPr calcId="191029"/>
  <pivotCaches>
    <pivotCache cacheId="8" r:id="rId3"/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2" i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2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L428" i="2"/>
  <c r="L417" i="2"/>
  <c r="L416" i="2" s="1"/>
  <c r="L415" i="2" s="1"/>
  <c r="L402" i="2"/>
  <c r="L397" i="2"/>
  <c r="L396" i="2" s="1"/>
  <c r="L384" i="2"/>
  <c r="L369" i="2"/>
  <c r="L368" i="2" s="1"/>
  <c r="L367" i="2" s="1"/>
  <c r="L355" i="2"/>
  <c r="L354" i="2" s="1"/>
  <c r="L353" i="2" s="1"/>
  <c r="L342" i="2"/>
  <c r="L330" i="2"/>
  <c r="L329" i="2"/>
  <c r="L328" i="2" s="1"/>
  <c r="L318" i="2"/>
  <c r="L306" i="2"/>
  <c r="L295" i="2"/>
  <c r="L294" i="2" s="1"/>
  <c r="L293" i="2" s="1"/>
  <c r="L282" i="2"/>
  <c r="L281" i="2" s="1"/>
  <c r="L280" i="2" s="1"/>
  <c r="L267" i="2"/>
  <c r="L266" i="2" s="1"/>
  <c r="L265" i="2" s="1"/>
  <c r="L253" i="2"/>
  <c r="L252" i="2" s="1"/>
  <c r="L244" i="2"/>
  <c r="L235" i="2"/>
  <c r="L220" i="2"/>
  <c r="L219" i="2" s="1"/>
  <c r="L218" i="2" s="1"/>
  <c r="L213" i="2"/>
  <c r="L212" i="2" s="1"/>
  <c r="L206" i="2"/>
  <c r="L195" i="2"/>
  <c r="L184" i="2"/>
  <c r="L183" i="2" s="1"/>
  <c r="L182" i="2" s="1"/>
  <c r="L169" i="2"/>
  <c r="L168" i="2" s="1"/>
  <c r="L167" i="2" s="1"/>
  <c r="L159" i="2"/>
  <c r="L147" i="2"/>
  <c r="L132" i="2"/>
  <c r="L119" i="2"/>
  <c r="L118" i="2" s="1"/>
  <c r="L117" i="2" s="1"/>
  <c r="L116" i="2" s="1"/>
  <c r="L108" i="2"/>
  <c r="L107" i="2" s="1"/>
  <c r="L96" i="2"/>
  <c r="L95" i="2" s="1"/>
  <c r="L86" i="2"/>
  <c r="L85" i="2" s="1"/>
  <c r="L75" i="2"/>
  <c r="L74" i="2" s="1"/>
  <c r="L64" i="2"/>
  <c r="L63" i="2" s="1"/>
  <c r="L62" i="2" s="1"/>
  <c r="L57" i="2"/>
  <c r="L56" i="2" s="1"/>
  <c r="L52" i="2"/>
  <c r="L51" i="2" s="1"/>
  <c r="L37" i="2"/>
  <c r="L36" i="2"/>
  <c r="L24" i="2"/>
  <c r="L14" i="2"/>
  <c r="L13" i="2" s="1"/>
  <c r="L12" i="2" s="1"/>
  <c r="L9" i="2"/>
  <c r="L3" i="1" l="1"/>
  <c r="L758" i="1"/>
  <c r="L746" i="1"/>
  <c r="L734" i="1"/>
  <c r="L722" i="1"/>
  <c r="L710" i="1"/>
  <c r="L698" i="1"/>
  <c r="L686" i="1"/>
  <c r="L674" i="1"/>
  <c r="L662" i="1"/>
  <c r="L650" i="1"/>
  <c r="L638" i="1"/>
  <c r="L626" i="1"/>
  <c r="L614" i="1"/>
  <c r="L602" i="1"/>
  <c r="L590" i="1"/>
  <c r="L578" i="1"/>
  <c r="L566" i="1"/>
  <c r="L554" i="1"/>
  <c r="L542" i="1"/>
  <c r="L530" i="1"/>
  <c r="L518" i="1"/>
  <c r="L506" i="1"/>
  <c r="L494" i="1"/>
  <c r="L482" i="1"/>
  <c r="L470" i="1"/>
  <c r="L458" i="1"/>
  <c r="L446" i="1"/>
  <c r="L434" i="1"/>
  <c r="L422" i="1"/>
  <c r="L410" i="1"/>
  <c r="L398" i="1"/>
  <c r="L386" i="1"/>
  <c r="L374" i="1"/>
  <c r="L362" i="1"/>
  <c r="L350" i="1"/>
  <c r="L338" i="1"/>
  <c r="L326" i="1"/>
  <c r="L314" i="1"/>
  <c r="L302" i="1"/>
  <c r="L290" i="1"/>
  <c r="L278" i="1"/>
  <c r="L266" i="1"/>
  <c r="L254" i="1"/>
  <c r="L242" i="1"/>
  <c r="L230" i="1"/>
  <c r="L218" i="1"/>
  <c r="L206" i="1"/>
  <c r="L194" i="1"/>
  <c r="L182" i="1"/>
  <c r="L170" i="1"/>
  <c r="L158" i="1"/>
  <c r="L146" i="1"/>
  <c r="L134" i="1"/>
  <c r="L122" i="1"/>
  <c r="L110" i="1"/>
  <c r="L98" i="1"/>
  <c r="L86" i="1"/>
  <c r="L74" i="1"/>
  <c r="L62" i="1"/>
  <c r="L50" i="1"/>
  <c r="L38" i="1"/>
  <c r="L26" i="1"/>
  <c r="L14" i="1"/>
  <c r="L757" i="1"/>
  <c r="L745" i="1"/>
  <c r="L733" i="1"/>
  <c r="L721" i="1"/>
  <c r="L709" i="1"/>
  <c r="L697" i="1"/>
  <c r="L685" i="1"/>
  <c r="L673" i="1"/>
  <c r="L661" i="1"/>
  <c r="L649" i="1"/>
  <c r="L637" i="1"/>
  <c r="L625" i="1"/>
  <c r="L613" i="1"/>
  <c r="L601" i="1"/>
  <c r="L589" i="1"/>
  <c r="L577" i="1"/>
  <c r="L565" i="1"/>
  <c r="L553" i="1"/>
  <c r="L541" i="1"/>
  <c r="L529" i="1"/>
  <c r="L517" i="1"/>
  <c r="L505" i="1"/>
  <c r="L493" i="1"/>
  <c r="L481" i="1"/>
  <c r="L469" i="1"/>
  <c r="L457" i="1"/>
  <c r="L445" i="1"/>
  <c r="L433" i="1"/>
  <c r="L421" i="1"/>
  <c r="L409" i="1"/>
  <c r="L397" i="1"/>
  <c r="L385" i="1"/>
  <c r="L373" i="1"/>
  <c r="L361" i="1"/>
  <c r="L349" i="1"/>
  <c r="L337" i="1"/>
  <c r="L325" i="1"/>
  <c r="L313" i="1"/>
  <c r="L301" i="1"/>
  <c r="L289" i="1"/>
  <c r="L277" i="1"/>
  <c r="L265" i="1"/>
  <c r="L253" i="1"/>
  <c r="L241" i="1"/>
  <c r="L229" i="1"/>
  <c r="L217" i="1"/>
  <c r="L205" i="1"/>
  <c r="L193" i="1"/>
  <c r="L181" i="1"/>
  <c r="L169" i="1"/>
  <c r="L157" i="1"/>
  <c r="L145" i="1"/>
  <c r="L133" i="1"/>
  <c r="L121" i="1"/>
  <c r="L109" i="1"/>
  <c r="L97" i="1"/>
  <c r="L85" i="1"/>
  <c r="L73" i="1"/>
  <c r="L61" i="1"/>
  <c r="L49" i="1"/>
  <c r="L37" i="1"/>
  <c r="L25" i="1"/>
  <c r="L13" i="1"/>
  <c r="L756" i="1"/>
  <c r="L744" i="1"/>
  <c r="L732" i="1"/>
  <c r="L720" i="1"/>
  <c r="L708" i="1"/>
  <c r="L696" i="1"/>
  <c r="L684" i="1"/>
  <c r="L672" i="1"/>
  <c r="L660" i="1"/>
  <c r="L648" i="1"/>
  <c r="L636" i="1"/>
  <c r="L624" i="1"/>
  <c r="L612" i="1"/>
  <c r="L600" i="1"/>
  <c r="L588" i="1"/>
  <c r="L576" i="1"/>
  <c r="L564" i="1"/>
  <c r="L552" i="1"/>
  <c r="L540" i="1"/>
  <c r="L528" i="1"/>
  <c r="L516" i="1"/>
  <c r="L504" i="1"/>
  <c r="L492" i="1"/>
  <c r="L480" i="1"/>
  <c r="L468" i="1"/>
  <c r="L456" i="1"/>
  <c r="L444" i="1"/>
  <c r="L432" i="1"/>
  <c r="L420" i="1"/>
  <c r="L408" i="1"/>
  <c r="L396" i="1"/>
  <c r="L384" i="1"/>
  <c r="L372" i="1"/>
  <c r="L360" i="1"/>
  <c r="L348" i="1"/>
  <c r="L336" i="1"/>
  <c r="L324" i="1"/>
  <c r="L312" i="1"/>
  <c r="L300" i="1"/>
  <c r="L288" i="1"/>
  <c r="L276" i="1"/>
  <c r="L264" i="1"/>
  <c r="L252" i="1"/>
  <c r="L240" i="1"/>
  <c r="L228" i="1"/>
  <c r="L216" i="1"/>
  <c r="L204" i="1"/>
  <c r="L192" i="1"/>
  <c r="L180" i="1"/>
  <c r="L168" i="1"/>
  <c r="L156" i="1"/>
  <c r="L144" i="1"/>
  <c r="L132" i="1"/>
  <c r="L120" i="1"/>
  <c r="L108" i="1"/>
  <c r="L96" i="1"/>
  <c r="L84" i="1"/>
  <c r="L72" i="1"/>
  <c r="L60" i="1"/>
  <c r="L48" i="1"/>
  <c r="L36" i="1"/>
  <c r="L24" i="1"/>
  <c r="L12" i="1"/>
  <c r="L755" i="1"/>
  <c r="L743" i="1"/>
  <c r="L731" i="1"/>
  <c r="L719" i="1"/>
  <c r="L707" i="1"/>
  <c r="L695" i="1"/>
  <c r="L683" i="1"/>
  <c r="L671" i="1"/>
  <c r="L659" i="1"/>
  <c r="L647" i="1"/>
  <c r="L635" i="1"/>
  <c r="L623" i="1"/>
  <c r="L611" i="1"/>
  <c r="L599" i="1"/>
  <c r="L587" i="1"/>
  <c r="L575" i="1"/>
  <c r="L563" i="1"/>
  <c r="L551" i="1"/>
  <c r="L539" i="1"/>
  <c r="L527" i="1"/>
  <c r="L515" i="1"/>
  <c r="L503" i="1"/>
  <c r="L491" i="1"/>
  <c r="L479" i="1"/>
  <c r="L467" i="1"/>
  <c r="L455" i="1"/>
  <c r="L443" i="1"/>
  <c r="L431" i="1"/>
  <c r="L419" i="1"/>
  <c r="L407" i="1"/>
  <c r="L395" i="1"/>
  <c r="L383" i="1"/>
  <c r="L371" i="1"/>
  <c r="L359" i="1"/>
  <c r="L347" i="1"/>
  <c r="L335" i="1"/>
  <c r="L323" i="1"/>
  <c r="L311" i="1"/>
  <c r="L299" i="1"/>
  <c r="L287" i="1"/>
  <c r="L275" i="1"/>
  <c r="L263" i="1"/>
  <c r="L251" i="1"/>
  <c r="L239" i="1"/>
  <c r="L227" i="1"/>
  <c r="L215" i="1"/>
  <c r="L203" i="1"/>
  <c r="L191" i="1"/>
  <c r="L179" i="1"/>
  <c r="L167" i="1"/>
  <c r="L155" i="1"/>
  <c r="L143" i="1"/>
  <c r="L131" i="1"/>
  <c r="L119" i="1"/>
  <c r="L107" i="1"/>
  <c r="L95" i="1"/>
  <c r="L83" i="1"/>
  <c r="L71" i="1"/>
  <c r="L59" i="1"/>
  <c r="L47" i="1"/>
  <c r="L35" i="1"/>
  <c r="L23" i="1"/>
  <c r="L11" i="1"/>
  <c r="L754" i="1"/>
  <c r="L742" i="1"/>
  <c r="L730" i="1"/>
  <c r="L718" i="1"/>
  <c r="L706" i="1"/>
  <c r="L694" i="1"/>
  <c r="L682" i="1"/>
  <c r="L670" i="1"/>
  <c r="L658" i="1"/>
  <c r="L646" i="1"/>
  <c r="L634" i="1"/>
  <c r="L622" i="1"/>
  <c r="L610" i="1"/>
  <c r="L598" i="1"/>
  <c r="L586" i="1"/>
  <c r="L574" i="1"/>
  <c r="L562" i="1"/>
  <c r="L550" i="1"/>
  <c r="L538" i="1"/>
  <c r="L526" i="1"/>
  <c r="L514" i="1"/>
  <c r="L502" i="1"/>
  <c r="L490" i="1"/>
  <c r="L478" i="1"/>
  <c r="L466" i="1"/>
  <c r="L454" i="1"/>
  <c r="L442" i="1"/>
  <c r="L430" i="1"/>
  <c r="L418" i="1"/>
  <c r="L406" i="1"/>
  <c r="L394" i="1"/>
  <c r="L382" i="1"/>
  <c r="L370" i="1"/>
  <c r="L358" i="1"/>
  <c r="L346" i="1"/>
  <c r="L334" i="1"/>
  <c r="L322" i="1"/>
  <c r="L310" i="1"/>
  <c r="L298" i="1"/>
  <c r="L286" i="1"/>
  <c r="L274" i="1"/>
  <c r="L262" i="1"/>
  <c r="L250" i="1"/>
  <c r="L238" i="1"/>
  <c r="L226" i="1"/>
  <c r="L214" i="1"/>
  <c r="L202" i="1"/>
  <c r="L190" i="1"/>
  <c r="L178" i="1"/>
  <c r="L166" i="1"/>
  <c r="L154" i="1"/>
  <c r="L142" i="1"/>
  <c r="L130" i="1"/>
  <c r="L118" i="1"/>
  <c r="L106" i="1"/>
  <c r="L94" i="1"/>
  <c r="L82" i="1"/>
  <c r="L70" i="1"/>
  <c r="L58" i="1"/>
  <c r="L46" i="1"/>
  <c r="L34" i="1"/>
  <c r="L22" i="1"/>
  <c r="L10" i="1"/>
  <c r="L753" i="1"/>
  <c r="L741" i="1"/>
  <c r="L729" i="1"/>
  <c r="L717" i="1"/>
  <c r="L705" i="1"/>
  <c r="L693" i="1"/>
  <c r="L681" i="1"/>
  <c r="L669" i="1"/>
  <c r="L657" i="1"/>
  <c r="L645" i="1"/>
  <c r="L633" i="1"/>
  <c r="L621" i="1"/>
  <c r="L609" i="1"/>
  <c r="L597" i="1"/>
  <c r="L585" i="1"/>
  <c r="L573" i="1"/>
  <c r="L561" i="1"/>
  <c r="L549" i="1"/>
  <c r="L537" i="1"/>
  <c r="L525" i="1"/>
  <c r="L513" i="1"/>
  <c r="L501" i="1"/>
  <c r="L489" i="1"/>
  <c r="L477" i="1"/>
  <c r="L465" i="1"/>
  <c r="L453" i="1"/>
  <c r="L441" i="1"/>
  <c r="L429" i="1"/>
  <c r="L417" i="1"/>
  <c r="L405" i="1"/>
  <c r="L393" i="1"/>
  <c r="L381" i="1"/>
  <c r="L369" i="1"/>
  <c r="L357" i="1"/>
  <c r="L345" i="1"/>
  <c r="L333" i="1"/>
  <c r="L321" i="1"/>
  <c r="L309" i="1"/>
  <c r="L297" i="1"/>
  <c r="L285" i="1"/>
  <c r="L273" i="1"/>
  <c r="L261" i="1"/>
  <c r="L249" i="1"/>
  <c r="L237" i="1"/>
  <c r="L225" i="1"/>
  <c r="L213" i="1"/>
  <c r="L201" i="1"/>
  <c r="L189" i="1"/>
  <c r="L177" i="1"/>
  <c r="L165" i="1"/>
  <c r="L153" i="1"/>
  <c r="L141" i="1"/>
  <c r="L129" i="1"/>
  <c r="L117" i="1"/>
  <c r="L105" i="1"/>
  <c r="L93" i="1"/>
  <c r="L81" i="1"/>
  <c r="L69" i="1"/>
  <c r="L57" i="1"/>
  <c r="L45" i="1"/>
  <c r="L33" i="1"/>
  <c r="L21" i="1"/>
  <c r="L9" i="1"/>
  <c r="L752" i="1"/>
  <c r="L740" i="1"/>
  <c r="L728" i="1"/>
  <c r="L716" i="1"/>
  <c r="L704" i="1"/>
  <c r="L692" i="1"/>
  <c r="L680" i="1"/>
  <c r="L668" i="1"/>
  <c r="L656" i="1"/>
  <c r="L644" i="1"/>
  <c r="L632" i="1"/>
  <c r="L620" i="1"/>
  <c r="L608" i="1"/>
  <c r="L596" i="1"/>
  <c r="L584" i="1"/>
  <c r="L572" i="1"/>
  <c r="L560" i="1"/>
  <c r="L548" i="1"/>
  <c r="L536" i="1"/>
  <c r="L524" i="1"/>
  <c r="L512" i="1"/>
  <c r="L500" i="1"/>
  <c r="L488" i="1"/>
  <c r="L476" i="1"/>
  <c r="L464" i="1"/>
  <c r="L452" i="1"/>
  <c r="L440" i="1"/>
  <c r="L428" i="1"/>
  <c r="L416" i="1"/>
  <c r="L404" i="1"/>
  <c r="L392" i="1"/>
  <c r="L380" i="1"/>
  <c r="L368" i="1"/>
  <c r="L356" i="1"/>
  <c r="L344" i="1"/>
  <c r="L332" i="1"/>
  <c r="L320" i="1"/>
  <c r="L308" i="1"/>
  <c r="L296" i="1"/>
  <c r="L284" i="1"/>
  <c r="L272" i="1"/>
  <c r="L260" i="1"/>
  <c r="L248" i="1"/>
  <c r="L236" i="1"/>
  <c r="L224" i="1"/>
  <c r="L212" i="1"/>
  <c r="L200" i="1"/>
  <c r="L188" i="1"/>
  <c r="L176" i="1"/>
  <c r="L164" i="1"/>
  <c r="L152" i="1"/>
  <c r="L140" i="1"/>
  <c r="L128" i="1"/>
  <c r="L116" i="1"/>
  <c r="L104" i="1"/>
  <c r="L92" i="1"/>
  <c r="L80" i="1"/>
  <c r="L68" i="1"/>
  <c r="L56" i="1"/>
  <c r="L44" i="1"/>
  <c r="L32" i="1"/>
  <c r="L20" i="1"/>
  <c r="L8" i="1"/>
  <c r="L751" i="1"/>
  <c r="L739" i="1"/>
  <c r="L727" i="1"/>
  <c r="L715" i="1"/>
  <c r="L703" i="1"/>
  <c r="L691" i="1"/>
  <c r="L679" i="1"/>
  <c r="L667" i="1"/>
  <c r="L655" i="1"/>
  <c r="L643" i="1"/>
  <c r="L631" i="1"/>
  <c r="L619" i="1"/>
  <c r="L607" i="1"/>
  <c r="L595" i="1"/>
  <c r="L583" i="1"/>
  <c r="L571" i="1"/>
  <c r="L559" i="1"/>
  <c r="L547" i="1"/>
  <c r="L535" i="1"/>
  <c r="L523" i="1"/>
  <c r="L511" i="1"/>
  <c r="L499" i="1"/>
  <c r="L487" i="1"/>
  <c r="L475" i="1"/>
  <c r="L463" i="1"/>
  <c r="L451" i="1"/>
  <c r="L439" i="1"/>
  <c r="L427" i="1"/>
  <c r="L415" i="1"/>
  <c r="L403" i="1"/>
  <c r="L391" i="1"/>
  <c r="L379" i="1"/>
  <c r="L367" i="1"/>
  <c r="L355" i="1"/>
  <c r="L343" i="1"/>
  <c r="L331" i="1"/>
  <c r="L319" i="1"/>
  <c r="L307" i="1"/>
  <c r="L295" i="1"/>
  <c r="L283" i="1"/>
  <c r="L271" i="1"/>
  <c r="L259" i="1"/>
  <c r="L247" i="1"/>
  <c r="L235" i="1"/>
  <c r="L223" i="1"/>
  <c r="L211" i="1"/>
  <c r="L199" i="1"/>
  <c r="L187" i="1"/>
  <c r="L175" i="1"/>
  <c r="L163" i="1"/>
  <c r="L151" i="1"/>
  <c r="L139" i="1"/>
  <c r="L127" i="1"/>
  <c r="L115" i="1"/>
  <c r="L103" i="1"/>
  <c r="L91" i="1"/>
  <c r="L79" i="1"/>
  <c r="L67" i="1"/>
  <c r="L55" i="1"/>
  <c r="L43" i="1"/>
  <c r="L31" i="1"/>
  <c r="L19" i="1"/>
  <c r="L7" i="1"/>
  <c r="L750" i="1"/>
  <c r="L738" i="1"/>
  <c r="L726" i="1"/>
  <c r="L714" i="1"/>
  <c r="L702" i="1"/>
  <c r="L690" i="1"/>
  <c r="L678" i="1"/>
  <c r="L666" i="1"/>
  <c r="L654" i="1"/>
  <c r="L642" i="1"/>
  <c r="L630" i="1"/>
  <c r="L618" i="1"/>
  <c r="L606" i="1"/>
  <c r="L594" i="1"/>
  <c r="L582" i="1"/>
  <c r="L570" i="1"/>
  <c r="L558" i="1"/>
  <c r="L546" i="1"/>
  <c r="L534" i="1"/>
  <c r="L522" i="1"/>
  <c r="L510" i="1"/>
  <c r="L498" i="1"/>
  <c r="L486" i="1"/>
  <c r="L474" i="1"/>
  <c r="L462" i="1"/>
  <c r="L450" i="1"/>
  <c r="L438" i="1"/>
  <c r="L426" i="1"/>
  <c r="L414" i="1"/>
  <c r="L402" i="1"/>
  <c r="L390" i="1"/>
  <c r="L378" i="1"/>
  <c r="L366" i="1"/>
  <c r="L354" i="1"/>
  <c r="L342" i="1"/>
  <c r="L330" i="1"/>
  <c r="L318" i="1"/>
  <c r="L306" i="1"/>
  <c r="L294" i="1"/>
  <c r="L282" i="1"/>
  <c r="L270" i="1"/>
  <c r="L258" i="1"/>
  <c r="L246" i="1"/>
  <c r="L234" i="1"/>
  <c r="L222" i="1"/>
  <c r="L210" i="1"/>
  <c r="L198" i="1"/>
  <c r="L186" i="1"/>
  <c r="L174" i="1"/>
  <c r="L162" i="1"/>
  <c r="L150" i="1"/>
  <c r="L138" i="1"/>
  <c r="L126" i="1"/>
  <c r="L114" i="1"/>
  <c r="L102" i="1"/>
  <c r="L90" i="1"/>
  <c r="L78" i="1"/>
  <c r="L66" i="1"/>
  <c r="L54" i="1"/>
  <c r="L42" i="1"/>
  <c r="L30" i="1"/>
  <c r="L18" i="1"/>
  <c r="L6" i="1"/>
  <c r="L749" i="1"/>
  <c r="L737" i="1"/>
  <c r="L725" i="1"/>
  <c r="L713" i="1"/>
  <c r="L701" i="1"/>
  <c r="L689" i="1"/>
  <c r="L677" i="1"/>
  <c r="L665" i="1"/>
  <c r="L653" i="1"/>
  <c r="L641" i="1"/>
  <c r="L629" i="1"/>
  <c r="L617" i="1"/>
  <c r="L605" i="1"/>
  <c r="L593" i="1"/>
  <c r="L581" i="1"/>
  <c r="L569" i="1"/>
  <c r="L557" i="1"/>
  <c r="L545" i="1"/>
  <c r="L533" i="1"/>
  <c r="L521" i="1"/>
  <c r="L509" i="1"/>
  <c r="L497" i="1"/>
  <c r="L485" i="1"/>
  <c r="L473" i="1"/>
  <c r="L461" i="1"/>
  <c r="L449" i="1"/>
  <c r="L437" i="1"/>
  <c r="L425" i="1"/>
  <c r="L413" i="1"/>
  <c r="L401" i="1"/>
  <c r="L389" i="1"/>
  <c r="L377" i="1"/>
  <c r="L365" i="1"/>
  <c r="L353" i="1"/>
  <c r="L341" i="1"/>
  <c r="L329" i="1"/>
  <c r="L317" i="1"/>
  <c r="L305" i="1"/>
  <c r="L293" i="1"/>
  <c r="L281" i="1"/>
  <c r="L269" i="1"/>
  <c r="L257" i="1"/>
  <c r="L245" i="1"/>
  <c r="L233" i="1"/>
  <c r="L221" i="1"/>
  <c r="L209" i="1"/>
  <c r="L197" i="1"/>
  <c r="L185" i="1"/>
  <c r="L173" i="1"/>
  <c r="L161" i="1"/>
  <c r="L149" i="1"/>
  <c r="L137" i="1"/>
  <c r="L125" i="1"/>
  <c r="L113" i="1"/>
  <c r="L101" i="1"/>
  <c r="L89" i="1"/>
  <c r="L77" i="1"/>
  <c r="L65" i="1"/>
  <c r="L53" i="1"/>
  <c r="L41" i="1"/>
  <c r="L29" i="1"/>
  <c r="L17" i="1"/>
  <c r="L5" i="1"/>
  <c r="L2" i="1"/>
  <c r="L748" i="1"/>
  <c r="L736" i="1"/>
  <c r="L724" i="1"/>
  <c r="L712" i="1"/>
  <c r="L700" i="1"/>
  <c r="L688" i="1"/>
  <c r="L676" i="1"/>
  <c r="L664" i="1"/>
  <c r="L652" i="1"/>
  <c r="L640" i="1"/>
  <c r="L628" i="1"/>
  <c r="L616" i="1"/>
  <c r="L604" i="1"/>
  <c r="L592" i="1"/>
  <c r="L580" i="1"/>
  <c r="L568" i="1"/>
  <c r="L556" i="1"/>
  <c r="L544" i="1"/>
  <c r="L532" i="1"/>
  <c r="L520" i="1"/>
  <c r="L508" i="1"/>
  <c r="L496" i="1"/>
  <c r="L484" i="1"/>
  <c r="L472" i="1"/>
  <c r="L460" i="1"/>
  <c r="L448" i="1"/>
  <c r="L436" i="1"/>
  <c r="L424" i="1"/>
  <c r="L412" i="1"/>
  <c r="L400" i="1"/>
  <c r="L388" i="1"/>
  <c r="L376" i="1"/>
  <c r="L364" i="1"/>
  <c r="L352" i="1"/>
  <c r="L340" i="1"/>
  <c r="L328" i="1"/>
  <c r="L316" i="1"/>
  <c r="L304" i="1"/>
  <c r="L292" i="1"/>
  <c r="L280" i="1"/>
  <c r="L268" i="1"/>
  <c r="L256" i="1"/>
  <c r="L244" i="1"/>
  <c r="L232" i="1"/>
  <c r="L220" i="1"/>
  <c r="L208" i="1"/>
  <c r="L196" i="1"/>
  <c r="L184" i="1"/>
  <c r="L172" i="1"/>
  <c r="L160" i="1"/>
  <c r="L148" i="1"/>
  <c r="L136" i="1"/>
  <c r="L124" i="1"/>
  <c r="L112" i="1"/>
  <c r="L100" i="1"/>
  <c r="L88" i="1"/>
  <c r="L76" i="1"/>
  <c r="L64" i="1"/>
  <c r="L52" i="1"/>
  <c r="L40" i="1"/>
  <c r="L28" i="1"/>
  <c r="L16" i="1"/>
  <c r="L4" i="1"/>
  <c r="L759" i="1"/>
  <c r="L747" i="1"/>
  <c r="L735" i="1"/>
  <c r="L723" i="1"/>
  <c r="L711" i="1"/>
  <c r="L699" i="1"/>
  <c r="L687" i="1"/>
  <c r="L675" i="1"/>
  <c r="L663" i="1"/>
  <c r="L651" i="1"/>
  <c r="L639" i="1"/>
  <c r="L627" i="1"/>
  <c r="L615" i="1"/>
  <c r="L603" i="1"/>
  <c r="L591" i="1"/>
  <c r="L579" i="1"/>
  <c r="L567" i="1"/>
  <c r="L555" i="1"/>
  <c r="L543" i="1"/>
  <c r="L531" i="1"/>
  <c r="L519" i="1"/>
  <c r="L507" i="1"/>
  <c r="L495" i="1"/>
  <c r="L483" i="1"/>
  <c r="L471" i="1"/>
  <c r="L459" i="1"/>
  <c r="L447" i="1"/>
  <c r="L435" i="1"/>
  <c r="L423" i="1"/>
  <c r="L411" i="1"/>
  <c r="L399" i="1"/>
  <c r="L387" i="1"/>
  <c r="L375" i="1"/>
  <c r="L363" i="1"/>
  <c r="L351" i="1"/>
  <c r="L339" i="1"/>
  <c r="L327" i="1"/>
  <c r="L315" i="1"/>
  <c r="L303" i="1"/>
  <c r="L291" i="1"/>
  <c r="L279" i="1"/>
  <c r="L267" i="1"/>
  <c r="L255" i="1"/>
  <c r="L243" i="1"/>
  <c r="L231" i="1"/>
  <c r="L219" i="1"/>
  <c r="L207" i="1"/>
  <c r="L195" i="1"/>
  <c r="L183" i="1"/>
  <c r="L171" i="1"/>
  <c r="L159" i="1"/>
  <c r="L147" i="1"/>
  <c r="L135" i="1"/>
  <c r="L123" i="1"/>
  <c r="L111" i="1"/>
  <c r="L99" i="1"/>
  <c r="L87" i="1"/>
  <c r="L75" i="1"/>
  <c r="L63" i="1"/>
  <c r="L51" i="1"/>
  <c r="L39" i="1"/>
  <c r="L27" i="1"/>
  <c r="L15" i="1"/>
  <c r="L211" i="2"/>
  <c r="L194" i="2"/>
  <c r="L401" i="2"/>
  <c r="L205" i="2"/>
  <c r="L146" i="2"/>
  <c r="L145" i="2" s="1"/>
  <c r="L341" i="2"/>
  <c r="L427" i="2"/>
  <c r="L426" i="2" s="1"/>
  <c r="L73" i="2"/>
  <c r="L72" i="2" s="1"/>
  <c r="L158" i="2"/>
  <c r="L157" i="2" s="1"/>
  <c r="L156" i="2" s="1"/>
  <c r="L366" i="2"/>
  <c r="L414" i="2"/>
  <c r="L352" i="2"/>
  <c r="L264" i="2"/>
  <c r="L193" i="2"/>
  <c r="L35" i="2"/>
  <c r="L292" i="2"/>
  <c r="L234" i="2"/>
  <c r="L166" i="2"/>
  <c r="L383" i="2"/>
  <c r="L115" i="2"/>
  <c r="L131" i="2"/>
  <c r="L305" i="2"/>
  <c r="L317" i="2"/>
  <c r="L84" i="2"/>
  <c r="L243" i="2"/>
  <c r="L181" i="2"/>
  <c r="L279" i="2"/>
  <c r="L55" i="2"/>
  <c r="L210" i="2"/>
  <c r="L61" i="2"/>
  <c r="L327" i="2"/>
  <c r="L217" i="2"/>
  <c r="L50" i="2"/>
  <c r="L94" i="2"/>
  <c r="L251" i="2"/>
  <c r="L106" i="2"/>
  <c r="L8" i="2"/>
  <c r="L395" i="2"/>
  <c r="L23" i="2"/>
  <c r="L204" i="2" l="1"/>
  <c r="L203" i="2" s="1"/>
  <c r="L400" i="2"/>
  <c r="L340" i="2"/>
  <c r="L49" i="2"/>
  <c r="L130" i="2"/>
  <c r="L278" i="2"/>
  <c r="L34" i="2"/>
  <c r="L83" i="2"/>
  <c r="L22" i="2"/>
  <c r="L7" i="2"/>
  <c r="L114" i="2"/>
  <c r="L71" i="2"/>
  <c r="L155" i="2"/>
  <c r="L263" i="2"/>
  <c r="L316" i="2"/>
  <c r="L382" i="2"/>
  <c r="L250" i="2"/>
  <c r="L144" i="2"/>
  <c r="L351" i="2"/>
  <c r="L242" i="2"/>
  <c r="L165" i="2"/>
  <c r="L60" i="2"/>
  <c r="L233" i="2"/>
  <c r="L291" i="2"/>
  <c r="L394" i="2"/>
  <c r="L216" i="2"/>
  <c r="L192" i="2"/>
  <c r="L105" i="2"/>
  <c r="L180" i="2"/>
  <c r="L326" i="2"/>
  <c r="L425" i="2"/>
  <c r="L413" i="2"/>
  <c r="L304" i="2"/>
  <c r="L93" i="2"/>
  <c r="L209" i="2"/>
  <c r="L365" i="2"/>
  <c r="L339" i="2" l="1"/>
  <c r="L21" i="2"/>
  <c r="L393" i="2"/>
  <c r="L262" i="2"/>
  <c r="L325" i="2"/>
  <c r="L350" i="2"/>
  <c r="L82" i="2"/>
  <c r="L179" i="2"/>
  <c r="L143" i="2"/>
  <c r="L70" i="2"/>
  <c r="L104" i="2"/>
  <c r="L249" i="2"/>
  <c r="L277" i="2"/>
  <c r="L6" i="2"/>
  <c r="L424" i="2"/>
  <c r="L241" i="2"/>
  <c r="L364" i="2"/>
  <c r="L290" i="2"/>
  <c r="L154" i="2"/>
  <c r="L232" i="2"/>
  <c r="L33" i="2"/>
  <c r="L92" i="2"/>
  <c r="L202" i="2"/>
  <c r="L113" i="2"/>
  <c r="L303" i="2"/>
  <c r="L381" i="2"/>
  <c r="L129" i="2"/>
  <c r="L191" i="2"/>
  <c r="L315" i="2"/>
  <c r="L412" i="2"/>
  <c r="L164" i="2"/>
  <c r="L48" i="2"/>
  <c r="L338" i="2" l="1"/>
  <c r="L302" i="2"/>
  <c r="L153" i="2"/>
  <c r="L112" i="2"/>
  <c r="L314" i="2"/>
  <c r="L276" i="2"/>
  <c r="L69" i="2"/>
  <c r="L81" i="2"/>
  <c r="L411" i="2"/>
  <c r="L248" i="2"/>
  <c r="L349" i="2"/>
  <c r="L201" i="2"/>
  <c r="L103" i="2"/>
  <c r="L91" i="2"/>
  <c r="L261" i="2"/>
  <c r="L47" i="2"/>
  <c r="L128" i="2"/>
  <c r="L423" i="2"/>
  <c r="L392" i="2"/>
  <c r="L163" i="2"/>
  <c r="L289" i="2"/>
  <c r="L363" i="2"/>
  <c r="L324" i="2"/>
  <c r="L190" i="2"/>
  <c r="L240" i="2"/>
  <c r="L32" i="2"/>
  <c r="L142" i="2"/>
  <c r="L380" i="2"/>
  <c r="L231" i="2"/>
  <c r="L5" i="2"/>
  <c r="L178" i="2"/>
  <c r="L20" i="2"/>
  <c r="L337" i="2" l="1"/>
  <c r="L239" i="2"/>
  <c r="L391" i="2"/>
  <c r="L4" i="2"/>
  <c r="L68" i="2"/>
  <c r="L230" i="2"/>
  <c r="L422" i="2"/>
  <c r="L275" i="2"/>
  <c r="L379" i="2"/>
  <c r="L127" i="2"/>
  <c r="L313" i="2"/>
  <c r="L362" i="2"/>
  <c r="L247" i="2"/>
  <c r="L102" i="2"/>
  <c r="L189" i="2"/>
  <c r="L200" i="2"/>
  <c r="L323" i="2"/>
  <c r="L348" i="2"/>
  <c r="L46" i="2"/>
  <c r="L111" i="2"/>
  <c r="L19" i="2"/>
  <c r="L141" i="2"/>
  <c r="L288" i="2"/>
  <c r="L260" i="2"/>
  <c r="L410" i="2"/>
  <c r="L152" i="2"/>
  <c r="L177" i="2"/>
  <c r="L31" i="2"/>
  <c r="L162" i="2"/>
  <c r="L90" i="2"/>
  <c r="L80" i="2"/>
  <c r="L301" i="2"/>
  <c r="L336" i="2" l="1"/>
  <c r="L89" i="2"/>
  <c r="L421" i="2"/>
  <c r="L287" i="2"/>
  <c r="L361" i="2"/>
  <c r="L140" i="2"/>
  <c r="L312" i="2"/>
  <c r="L126" i="2"/>
  <c r="L259" i="2"/>
  <c r="L347" i="2"/>
  <c r="L229" i="2"/>
  <c r="L30" i="2"/>
  <c r="L322" i="2"/>
  <c r="L67" i="2"/>
  <c r="L176" i="2"/>
  <c r="L18" i="2"/>
  <c r="L199" i="2"/>
  <c r="L3" i="2"/>
  <c r="L300" i="2"/>
  <c r="L151" i="2"/>
  <c r="L188" i="2"/>
  <c r="L378" i="2"/>
  <c r="L390" i="2"/>
  <c r="L79" i="2"/>
  <c r="L409" i="2"/>
  <c r="L45" i="2"/>
  <c r="L101" i="2"/>
  <c r="L274" i="2"/>
  <c r="L238" i="2"/>
  <c r="L335" i="2" l="1"/>
  <c r="L139" i="2"/>
  <c r="L389" i="2"/>
  <c r="L17" i="2"/>
  <c r="L2" i="2"/>
  <c r="L228" i="2"/>
  <c r="L78" i="2"/>
  <c r="L360" i="2"/>
  <c r="L273" i="2"/>
  <c r="L346" i="2"/>
  <c r="L187" i="2"/>
  <c r="L258" i="2"/>
  <c r="L29" i="2"/>
  <c r="L198" i="2"/>
  <c r="L377" i="2"/>
  <c r="L286" i="2"/>
  <c r="L100" i="2"/>
  <c r="L175" i="2"/>
  <c r="L420" i="2"/>
  <c r="L44" i="2"/>
  <c r="L150" i="2"/>
  <c r="L125" i="2"/>
  <c r="L408" i="2"/>
  <c r="L299" i="2"/>
  <c r="L321" i="2"/>
  <c r="L311" i="2"/>
  <c r="L334" i="2" l="1"/>
  <c r="L174" i="2"/>
  <c r="L376" i="2"/>
  <c r="L272" i="2"/>
  <c r="L388" i="2"/>
  <c r="L28" i="2"/>
  <c r="L257" i="2"/>
  <c r="L285" i="2"/>
  <c r="L298" i="2"/>
  <c r="L227" i="2"/>
  <c r="L407" i="2"/>
  <c r="L99" i="2"/>
  <c r="L124" i="2"/>
  <c r="L345" i="2"/>
  <c r="L310" i="2"/>
  <c r="L43" i="2"/>
  <c r="L359" i="2"/>
  <c r="L138" i="2"/>
  <c r="L333" i="2" l="1"/>
  <c r="L256" i="2"/>
  <c r="L226" i="2"/>
  <c r="L137" i="2"/>
  <c r="L358" i="2"/>
  <c r="L387" i="2"/>
  <c r="L42" i="2"/>
  <c r="L123" i="2"/>
  <c r="L27" i="2"/>
  <c r="L406" i="2"/>
  <c r="L271" i="2"/>
  <c r="L309" i="2"/>
  <c r="L375" i="2"/>
  <c r="L173" i="2"/>
  <c r="L374" i="2" l="1"/>
  <c r="L225" i="2"/>
  <c r="L41" i="2"/>
  <c r="L270" i="2"/>
  <c r="L405" i="2"/>
  <c r="L136" i="2"/>
  <c r="L172" i="2"/>
  <c r="L122" i="2"/>
  <c r="L135" i="2" l="1"/>
  <c r="L224" i="2"/>
  <c r="L40" i="2"/>
  <c r="L373" i="2"/>
  <c r="L372" i="2" l="1"/>
  <c r="L223" i="2"/>
</calcChain>
</file>

<file path=xl/sharedStrings.xml><?xml version="1.0" encoding="utf-8"?>
<sst xmlns="http://schemas.openxmlformats.org/spreadsheetml/2006/main" count="4364" uniqueCount="145">
  <si>
    <t>colony</t>
  </si>
  <si>
    <t>year</t>
  </si>
  <si>
    <t>Site</t>
  </si>
  <si>
    <t>track</t>
  </si>
  <si>
    <t>sample</t>
  </si>
  <si>
    <t>ccoldday</t>
  </si>
  <si>
    <t>warmday</t>
  </si>
  <si>
    <t>gulf</t>
  </si>
  <si>
    <t>height</t>
  </si>
  <si>
    <t>tf</t>
  </si>
  <si>
    <t>ala01</t>
  </si>
  <si>
    <t>AlAqah</t>
  </si>
  <si>
    <t>t2</t>
  </si>
  <si>
    <t>ala01_t2</t>
  </si>
  <si>
    <t>oman</t>
  </si>
  <si>
    <t>t1</t>
  </si>
  <si>
    <t>ala01_t1</t>
  </si>
  <si>
    <t>ala02</t>
  </si>
  <si>
    <t>ala02_t1</t>
  </si>
  <si>
    <t>ala02_t2</t>
  </si>
  <si>
    <t>ala08</t>
  </si>
  <si>
    <t>ala08_t2</t>
  </si>
  <si>
    <t>ala08_t1</t>
  </si>
  <si>
    <t>ala10</t>
  </si>
  <si>
    <t>ala10_t1</t>
  </si>
  <si>
    <t>ala10_t2</t>
  </si>
  <si>
    <t>ala12</t>
  </si>
  <si>
    <t>ala12_t1</t>
  </si>
  <si>
    <t>ala12_t2</t>
  </si>
  <si>
    <t>ala14</t>
  </si>
  <si>
    <t>ala14_t2</t>
  </si>
  <si>
    <t>ala14_t1</t>
  </si>
  <si>
    <t>ala21</t>
  </si>
  <si>
    <t>ala21_t2</t>
  </si>
  <si>
    <t>ala21_t1</t>
  </si>
  <si>
    <t>del01</t>
  </si>
  <si>
    <t>Delma</t>
  </si>
  <si>
    <t>del01_t2</t>
  </si>
  <si>
    <t>del01_t1</t>
  </si>
  <si>
    <t>del07</t>
  </si>
  <si>
    <t>del07_t2</t>
  </si>
  <si>
    <t>del07_t1</t>
  </si>
  <si>
    <t>del08</t>
  </si>
  <si>
    <t>del08_t2</t>
  </si>
  <si>
    <t>del08_t1</t>
  </si>
  <si>
    <t>del09</t>
  </si>
  <si>
    <t>del09_t1</t>
  </si>
  <si>
    <t>del09_t2</t>
  </si>
  <si>
    <t>del12</t>
  </si>
  <si>
    <t>del12_t2</t>
  </si>
  <si>
    <t>del12_t1</t>
  </si>
  <si>
    <t>del20</t>
  </si>
  <si>
    <t>del20_t2</t>
  </si>
  <si>
    <t>del20_t1</t>
  </si>
  <si>
    <t>dib01</t>
  </si>
  <si>
    <t>Dibba</t>
  </si>
  <si>
    <t>dib01_t1</t>
  </si>
  <si>
    <t>dib01_t2</t>
  </si>
  <si>
    <t>dib02</t>
  </si>
  <si>
    <t>dib02_t1</t>
  </si>
  <si>
    <t>dib02_t2</t>
  </si>
  <si>
    <t>dib03</t>
  </si>
  <si>
    <t>dib03_t2</t>
  </si>
  <si>
    <t>dib03_t1</t>
  </si>
  <si>
    <t>dib04</t>
  </si>
  <si>
    <t>dib04_t2</t>
  </si>
  <si>
    <t>dib04_t1</t>
  </si>
  <si>
    <t>dib06</t>
  </si>
  <si>
    <t>dib06_t1</t>
  </si>
  <si>
    <t>dib06_t2</t>
  </si>
  <si>
    <t>dib08</t>
  </si>
  <si>
    <t>dib08_t2</t>
  </si>
  <si>
    <t>dib08_t1</t>
  </si>
  <si>
    <t>dib15</t>
  </si>
  <si>
    <t>dib15_t2</t>
  </si>
  <si>
    <t>dib15_t1</t>
  </si>
  <si>
    <t>dib16</t>
  </si>
  <si>
    <t>dib16_t1</t>
  </si>
  <si>
    <t>dib16_t2</t>
  </si>
  <si>
    <t>ras04</t>
  </si>
  <si>
    <t>RasGhanada</t>
  </si>
  <si>
    <t>ras04_t1</t>
  </si>
  <si>
    <t>ras04_t2</t>
  </si>
  <si>
    <t>ras07</t>
  </si>
  <si>
    <t>ras07_t2</t>
  </si>
  <si>
    <t>ras07_t1</t>
  </si>
  <si>
    <t>ras09</t>
  </si>
  <si>
    <t>ras09_t2</t>
  </si>
  <si>
    <t>ras09_t1</t>
  </si>
  <si>
    <t>ras11</t>
  </si>
  <si>
    <t>ras11_t1</t>
  </si>
  <si>
    <t>ras11_t2</t>
  </si>
  <si>
    <t>ras12</t>
  </si>
  <si>
    <t>ras12_t1</t>
  </si>
  <si>
    <t>ras12_t2</t>
  </si>
  <si>
    <t>ras13</t>
  </si>
  <si>
    <t>ras13_t2</t>
  </si>
  <si>
    <t>ras13_t1</t>
  </si>
  <si>
    <t>ras15</t>
  </si>
  <si>
    <t>ras15_t2</t>
  </si>
  <si>
    <t>ras15_t1</t>
  </si>
  <si>
    <t>ras16</t>
  </si>
  <si>
    <t>ras16_t1</t>
  </si>
  <si>
    <t>ras16_t2</t>
  </si>
  <si>
    <t>ras21</t>
  </si>
  <si>
    <t>ras21_t1</t>
  </si>
  <si>
    <t>ras21_t2</t>
  </si>
  <si>
    <t>sad05</t>
  </si>
  <si>
    <t>Saadiyat</t>
  </si>
  <si>
    <t>sad05_t1</t>
  </si>
  <si>
    <t>sad05_t2</t>
  </si>
  <si>
    <t>sad07</t>
  </si>
  <si>
    <t>sad07_t2</t>
  </si>
  <si>
    <t>sad07_t1</t>
  </si>
  <si>
    <t>sad08</t>
  </si>
  <si>
    <t>sad08_t1</t>
  </si>
  <si>
    <t>sad08_t2</t>
  </si>
  <si>
    <t>sad12</t>
  </si>
  <si>
    <t>sad12_t1</t>
  </si>
  <si>
    <t>sad12_t2</t>
  </si>
  <si>
    <t>sad13</t>
  </si>
  <si>
    <t>sad13_t1</t>
  </si>
  <si>
    <t>sad13_t2</t>
  </si>
  <si>
    <t>sad14</t>
  </si>
  <si>
    <t>sad14_t2</t>
  </si>
  <si>
    <t>sad14_t1</t>
  </si>
  <si>
    <t>sad15</t>
  </si>
  <si>
    <t>sad15_t1</t>
  </si>
  <si>
    <t>sad15_t2</t>
  </si>
  <si>
    <t>sad22</t>
  </si>
  <si>
    <t>sad22_t1</t>
  </si>
  <si>
    <t>sad22_t2</t>
  </si>
  <si>
    <t>Row Labels</t>
  </si>
  <si>
    <t>Grand Total</t>
  </si>
  <si>
    <t>Average of extension</t>
  </si>
  <si>
    <t>Max of height</t>
  </si>
  <si>
    <t>Bheight</t>
  </si>
  <si>
    <t>newlab</t>
  </si>
  <si>
    <t>jsjs</t>
  </si>
  <si>
    <t>hname</t>
  </si>
  <si>
    <t>Max of year</t>
  </si>
  <si>
    <t>Min of year</t>
  </si>
  <si>
    <t>maxyear</t>
  </si>
  <si>
    <t>minyear</t>
  </si>
  <si>
    <t>minage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</si>
</sst>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33" borderId="10" xfId="0" applyFont="1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893.600568055554" createdVersion="8" refreshedVersion="8" minRefreshableVersion="3" recordCount="758" xr:uid="{00000000-000A-0000-FFFF-FFFF05000000}">
  <cacheSource type="worksheet">
    <worksheetSource ref="A1:J759" sheet="Bheights"/>
  </cacheSource>
  <cacheFields count="22">
    <cacheField name="colony" numFmtId="0">
      <sharedItems count="38">
        <s v="ala01"/>
        <s v="ala02"/>
        <s v="ala08"/>
        <s v="ala10"/>
        <s v="ala12"/>
        <s v="ala14"/>
        <s v="ala21"/>
        <s v="del01"/>
        <s v="del07"/>
        <s v="del08"/>
        <s v="del09"/>
        <s v="del12"/>
        <s v="del20"/>
        <s v="dib01"/>
        <s v="dib02"/>
        <s v="dib03"/>
        <s v="dib04"/>
        <s v="dib06"/>
        <s v="dib08"/>
        <s v="dib15"/>
        <s v="dib16"/>
        <s v="ras04"/>
        <s v="ras07"/>
        <s v="ras09"/>
        <s v="ras11"/>
        <s v="ras12"/>
        <s v="ras13"/>
        <s v="ras15"/>
        <s v="ras16"/>
        <s v="ras21"/>
        <s v="sad05"/>
        <s v="sad07"/>
        <s v="sad08"/>
        <s v="sad12"/>
        <s v="sad13"/>
        <s v="sad14"/>
        <s v="sad15"/>
        <s v="sad22"/>
      </sharedItems>
    </cacheField>
    <cacheField name="year" numFmtId="0">
      <sharedItems containsSemiMixedTypes="0" containsString="0" containsNumber="1" containsInteger="1" minValue="2000" maxValue="2013" count="14">
        <n v="2005"/>
        <n v="2006"/>
        <n v="2007"/>
        <n v="2008"/>
        <n v="2009"/>
        <n v="2010"/>
        <n v="2011"/>
        <n v="2012"/>
        <n v="2013"/>
        <n v="2002"/>
        <n v="2003"/>
        <n v="2004"/>
        <n v="2000"/>
        <n v="2001"/>
      </sharedItems>
    </cacheField>
    <cacheField name="Site" numFmtId="0">
      <sharedItems/>
    </cacheField>
    <cacheField name="track" numFmtId="0">
      <sharedItems/>
    </cacheField>
    <cacheField name="sample" numFmtId="0">
      <sharedItems/>
    </cacheField>
    <cacheField name="calc" numFmtId="0">
      <sharedItems containsSemiMixedTypes="0" containsString="0" containsNumber="1" minValue="0.16500000000000001" maxValue="1.9930000000000001"/>
    </cacheField>
    <cacheField name="extension" numFmtId="0">
      <sharedItems containsSemiMixedTypes="0" containsString="0" containsNumber="1" minValue="0.16650000000000001" maxValue="1.5690999999999999" count="304">
        <n v="0.61550000000000005"/>
        <n v="0.56010000000000004"/>
        <n v="0.37840000000000001"/>
        <n v="0.84260000000000002"/>
        <n v="0.63060000000000005"/>
        <n v="0.53979999999999995"/>
        <n v="0.68110000000000004"/>
        <n v="0.63070000000000004"/>
        <n v="0.37340000000000001"/>
        <n v="0.65590000000000004"/>
        <n v="0.47420000000000001"/>
        <n v="0.61040000000000005"/>
        <n v="0.54990000000000006"/>
        <n v="0.60040000000000004"/>
        <n v="0.76190000000000002"/>
        <n v="0.66100000000000003"/>
        <n v="0.79710000000000003"/>
        <n v="1.0392999999999999"/>
        <n v="1.0494000000000001"/>
        <n v="1.004"/>
        <n v="1.1604000000000001"/>
        <n v="1.1755"/>
        <n v="1.1100000000000001"/>
        <n v="0.999"/>
        <n v="1.4379"/>
        <n v="0.77200000000000002"/>
        <n v="0.79210000000000003"/>
        <n v="0.74670000000000003"/>
        <n v="0.78700000000000003"/>
        <n v="0.88300000000000001"/>
        <n v="0.54490000000000005"/>
        <n v="0.40860000000000002"/>
        <n v="0.93340000000000001"/>
        <n v="0.70630000000000004"/>
        <n v="0.66600000000000004"/>
        <n v="0.39860000000000001"/>
        <n v="0.44400000000000001"/>
        <n v="0.4793"/>
        <n v="0.72150000000000003"/>
        <n v="0.72650000000000003"/>
        <n v="0.70640000000000003"/>
        <n v="0.45910000000000001"/>
        <n v="0.83250000000000002"/>
        <n v="0.71650000000000003"/>
        <n v="0.35320000000000001"/>
        <n v="0.58520000000000005"/>
        <n v="0.57520000000000004"/>
        <n v="0.4642"/>
        <n v="0.46410000000000001"/>
        <n v="0.38340000000000002"/>
        <n v="0.48430000000000001"/>
        <n v="0.64580000000000004"/>
        <n v="0.4541"/>
        <n v="0.87290000000000001"/>
        <n v="0.44900000000000001"/>
        <n v="0.4945"/>
        <n v="0.59530000000000005"/>
        <n v="0.57010000000000005"/>
        <n v="0.88290000000000002"/>
        <n v="0.74160000000000004"/>
        <n v="1.5690999999999999"/>
        <n v="0.75680000000000003"/>
        <n v="0.66090000000000004"/>
        <n v="1.3269"/>
        <n v="1.0948"/>
        <n v="0.55500000000000005"/>
        <n v="0.40870000000000001"/>
        <n v="0.4844"/>
        <n v="0.28760000000000002"/>
        <n v="0.36320000000000002"/>
        <n v="0.21690000000000001"/>
        <n v="0.51470000000000005"/>
        <n v="0.68610000000000004"/>
        <n v="0.52470000000000006"/>
        <n v="1.4177999999999999"/>
        <n v="0.76680000000000004"/>
        <n v="0.74170000000000003"/>
        <n v="1.3117000000000001"/>
        <n v="0.97370000000000001"/>
        <n v="0.88"/>
        <n v="0.46500000000000002"/>
        <n v="0.4894"/>
        <n v="0.64080000000000004"/>
        <n v="0.72"/>
        <n v="0.61"/>
        <n v="0.58020000000000005"/>
        <n v="0.57499999999999996"/>
        <n v="0.63500000000000001"/>
        <n v="0.217"/>
        <n v="0.55489999999999995"/>
        <n v="0.42380000000000001"/>
        <n v="0.36330000000000001"/>
        <n v="0.46920000000000001"/>
        <n v="0.78200000000000003"/>
        <n v="0.79220000000000002"/>
        <n v="0.4743"/>
        <n v="0.62560000000000004"/>
        <n v="0.76180000000000003"/>
        <n v="1.0089999999999999"/>
        <n v="0.38350000000000001"/>
        <n v="0.34310000000000002"/>
        <n v="0.44390000000000002"/>
        <n v="0.63570000000000004"/>
        <n v="0.71140000000000003"/>
        <n v="0.31280000000000002"/>
        <n v="0.67100000000000004"/>
        <n v="0.85499999999999998"/>
        <n v="0.32800000000000001"/>
        <n v="0.495"/>
        <n v="0.87"/>
        <n v="0.43390000000000001"/>
        <n v="0.26229999999999998"/>
        <n v="0.61499999999999999"/>
        <n v="0.77500000000000002"/>
        <n v="0.85270000000000001"/>
        <n v="0.65"/>
        <n v="0.56000000000000005"/>
        <n v="0.93500000000000005"/>
        <n v="0.49440000000000001"/>
        <n v="1.0898000000000001"/>
        <n v="1.2209000000000001"/>
        <n v="0.82750000000000001"/>
        <n v="1.0696000000000001"/>
        <n v="0.92830000000000001"/>
        <n v="0.92330000000000001"/>
        <n v="0.59030000000000005"/>
        <n v="0.38850000000000001"/>
        <n v="0.37330000000000002"/>
        <n v="0.65080000000000005"/>
        <n v="0.2422"/>
        <n v="0.33300000000000002"/>
        <n v="0.42880000000000001"/>
        <n v="0.27250000000000002"/>
        <n v="0.21190000000000001"/>
        <n v="0.27239999999999998"/>
        <n v="0.29260000000000003"/>
        <n v="0.71640000000000004"/>
        <n v="1.1403000000000001"/>
        <n v="0.99390000000000001"/>
        <n v="0.98380000000000001"/>
        <n v="0.79720000000000002"/>
        <n v="1.0747"/>
        <n v="1.1453"/>
        <n v="0.67110000000000003"/>
        <n v="0.80720000000000003"/>
        <n v="0.78710000000000002"/>
        <n v="1.1352"/>
        <n v="0.95860000000000001"/>
        <n v="0.25230000000000002"/>
        <n v="1.2109000000000001"/>
        <n v="0.51459999999999995"/>
        <n v="0.43890000000000001"/>
        <n v="0.29770000000000002"/>
        <n v="0.51970000000000005"/>
        <n v="0.30270000000000002"/>
        <n v="0.41870000000000002"/>
        <n v="0.53480000000000005"/>
        <n v="0.52969999999999995"/>
        <n v="0.50449999999999995"/>
        <n v="0.90310000000000001"/>
        <n v="0.34810000000000002"/>
        <n v="0.35310000000000002"/>
        <n v="0.70130000000000003"/>
        <n v="0.72660000000000002"/>
        <n v="0.77190000000000003"/>
        <n v="0.39360000000000001"/>
        <n v="0.41370000000000001"/>
        <n v="0.89300000000000002"/>
        <n v="0.36830000000000002"/>
        <n v="0.2321"/>
        <n v="0.32290000000000002"/>
        <n v="0.50460000000000005"/>
        <n v="0.86770000000000003"/>
        <n v="0.69620000000000004"/>
        <n v="0.35820000000000002"/>
        <n v="0.83750000000000002"/>
        <n v="0.80220000000000002"/>
        <n v="0.39350000000000002"/>
        <n v="1.0998000000000001"/>
        <n v="0.81730000000000003"/>
        <n v="0.99399999999999999"/>
        <n v="0.65580000000000005"/>
        <n v="0.93840000000000001"/>
        <n v="0.56499999999999995"/>
        <n v="0.67610000000000003"/>
        <n v="0.59540000000000004"/>
        <n v="0.60540000000000005"/>
        <n v="0.64070000000000005"/>
        <n v="0.69120000000000004"/>
        <n v="0.9637"/>
        <n v="0.57020000000000004"/>
        <n v="0.77690000000000003"/>
        <n v="0.64570000000000005"/>
        <n v="0.4289"/>
        <n v="1.0342"/>
        <n v="0.66590000000000005"/>
        <n v="0.94350000000000001"/>
        <n v="1.0595000000000001"/>
        <n v="0.26240000000000002"/>
        <n v="0.72140000000000004"/>
        <n v="0.58530000000000004"/>
        <n v="0.52980000000000005"/>
        <n v="0.73660000000000003"/>
        <n v="0.61050000000000004"/>
        <n v="0.83240000000000003"/>
        <n v="0.9536"/>
        <n v="0.53469999999999995"/>
        <n v="0.87790000000000001"/>
        <n v="0.39850000000000002"/>
        <n v="0.40360000000000001"/>
        <n v="0.33800000000000002"/>
        <n v="0.4592"/>
        <n v="0.56510000000000005"/>
        <n v="0.25729999999999997"/>
        <n v="0.20680000000000001"/>
        <n v="0.31790000000000002"/>
        <n v="0.32790000000000002"/>
        <n v="0.30780000000000002"/>
        <n v="0.51959999999999995"/>
        <n v="1.3521000000000001"/>
        <n v="0.73160000000000003"/>
        <n v="0.60550000000000004"/>
        <n v="0.89800000000000002"/>
        <n v="1.0141"/>
        <n v="0.65090000000000003"/>
        <n v="0.9486"/>
        <n v="0.4491"/>
        <n v="0.62060000000000004"/>
        <n v="0.48930000000000001"/>
        <n v="0.57509999999999994"/>
        <n v="0.439"/>
        <n v="0.75170000000000003"/>
        <n v="0.77700000000000002"/>
        <n v="0.16650000000000001"/>
        <n v="0.45400000000000001"/>
        <n v="0.41880000000000001"/>
        <n v="0.4995"/>
        <n v="0.31780000000000003"/>
        <n v="0.53990000000000005"/>
        <n v="0.96360000000000001"/>
        <n v="0.1918"/>
        <n v="0.26740000000000003"/>
        <n v="0.43380000000000002"/>
        <n v="0.90810000000000002"/>
        <n v="0.91"/>
        <n v="0.59499999999999997"/>
        <n v="0.58499999999999996"/>
        <n v="0.69499999999999995"/>
        <n v="0.86780000000000002"/>
        <n v="0.86499999999999999"/>
        <n v="0.90820000000000001"/>
        <n v="0.97499999999999998"/>
        <n v="0.53"/>
        <n v="0.625"/>
        <n v="0.66"/>
        <n v="0.68620000000000003"/>
        <n v="0.89810000000000001"/>
        <n v="0.86270000000000002"/>
        <n v="0.81230000000000002"/>
        <n v="0.85260000000000002"/>
        <n v="0.52"/>
        <n v="0.98939999999999995"/>
        <n v="0.6069"/>
        <n v="0.6"/>
        <n v="0.70499999999999996"/>
        <n v="0.59160000000000001"/>
        <n v="0.92820000000000003"/>
        <n v="0.57999999999999996"/>
        <n v="0.995"/>
        <n v="0.64639999999999997"/>
        <n v="0.71"/>
        <n v="0.54"/>
        <n v="0.35499999999999998"/>
        <n v="0.73499999999999999"/>
        <n v="1.226"/>
        <n v="0.23719999999999999"/>
        <n v="0.29270000000000002"/>
        <n v="0.2472"/>
        <n v="0.1968"/>
        <n v="0.33289999999999997"/>
        <n v="0.50960000000000005"/>
        <n v="0.79"/>
        <n v="1.1000000000000001"/>
        <n v="1.02"/>
        <n v="0.36499999999999999"/>
        <n v="0.98499999999999999"/>
        <n v="0.82499999999999996"/>
        <n v="0.72499999999999998"/>
        <n v="1.075"/>
        <n v="1.07"/>
        <n v="0.92500000000000004"/>
        <n v="1.05"/>
        <n v="0.80500000000000005"/>
        <n v="0.95"/>
        <n v="0.77"/>
        <n v="0.88500000000000001"/>
        <n v="0.94"/>
        <n v="0.63"/>
        <n v="0.42"/>
        <n v="0.65500000000000003"/>
        <n v="0.43"/>
        <n v="0.34499999999999997"/>
        <n v="1.0242"/>
        <n v="0.84760000000000002"/>
      </sharedItems>
    </cacheField>
    <cacheField name="StavR" numFmtId="0">
      <sharedItems containsSemiMixedTypes="0" containsString="0" containsNumber="1" minValue="31.180819672131101" maxValue="34.478360655737703"/>
    </cacheField>
    <cacheField name="WtavR" numFmtId="0">
      <sharedItems containsSemiMixedTypes="0" containsString="0" containsNumber="1" minValue="18.6267213114754" maxValue="23.751639344262301"/>
    </cacheField>
    <cacheField name="WtsdR" numFmtId="0">
      <sharedItems containsSemiMixedTypes="0" containsString="0" containsNumber="1" minValue="0.22679942271107401" maxValue="0.96474436717146494"/>
    </cacheField>
    <cacheField name="winSlope" numFmtId="0">
      <sharedItems containsSemiMixedTypes="0" containsString="0" containsNumber="1" minValue="3.8813433757253997E-2" maxValue="0.14216158373461699"/>
    </cacheField>
    <cacheField name="StsdR" numFmtId="0">
      <sharedItems containsSemiMixedTypes="0" containsString="0" containsNumber="1" minValue="0.287866753480778" maxValue="0.967430996113127"/>
    </cacheField>
    <cacheField name="sumSlope" numFmtId="0">
      <sharedItems containsSemiMixedTypes="0" containsString="0" containsNumber="1" minValue="-0.107925669835782" maxValue="-5.4092274766431199E-3"/>
    </cacheField>
    <cacheField name="WcsavR" numFmtId="0">
      <sharedItems containsSemiMixedTypes="0" containsString="0" containsNumber="1" minValue="3.8249999999999999E-2" maxValue="0.16898360655737699"/>
    </cacheField>
    <cacheField name="WcssdR" numFmtId="0">
      <sharedItems containsSemiMixedTypes="0" containsString="0" containsNumber="1" minValue="2.6544131349338002E-2" maxValue="0.120009512373434"/>
    </cacheField>
    <cacheField name="ScsavR" numFmtId="0">
      <sharedItems containsSemiMixedTypes="0" containsString="0" containsNumber="1" minValue="2.57627118644068E-2" maxValue="0.186172131147541"/>
    </cacheField>
    <cacheField name="ScssdR" numFmtId="0">
      <sharedItems containsSemiMixedTypes="0" containsString="0" containsNumber="1" minValue="1.6878203637716801E-2" maxValue="7.7371882118299998E-2"/>
    </cacheField>
    <cacheField name="ccoldday" numFmtId="0">
      <sharedItems containsSemiMixedTypes="0" containsString="0" containsNumber="1" containsInteger="1" minValue="7" maxValue="80"/>
    </cacheField>
    <cacheField name="warmday" numFmtId="0">
      <sharedItems containsSemiMixedTypes="0" containsString="0" containsNumber="1" containsInteger="1" minValue="254" maxValue="341"/>
    </cacheField>
    <cacheField name="gulf" numFmtId="0">
      <sharedItems/>
    </cacheField>
    <cacheField name="height" numFmtId="0">
      <sharedItems containsSemiMixedTypes="0" containsString="0" containsNumber="1" minValue="4" maxValue="15" count="14">
        <n v="7"/>
        <n v="6"/>
        <n v="8"/>
        <n v="8.5"/>
        <n v="13.5"/>
        <n v="5"/>
        <n v="10"/>
        <n v="12"/>
        <n v="9"/>
        <n v="15"/>
        <n v="14"/>
        <n v="7.5"/>
        <n v="4"/>
        <n v="11"/>
      </sharedItems>
    </cacheField>
    <cacheField name="tf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894.481830439814" createdVersion="8" refreshedVersion="8" minRefreshableVersion="3" recordCount="758" xr:uid="{BE3A5CF8-1312-704B-A45D-6F7B42B6F5AC}">
  <cacheSource type="worksheet">
    <worksheetSource ref="A1:L759" sheet="Bheights"/>
  </cacheSource>
  <cacheFields count="24">
    <cacheField name="colony" numFmtId="0">
      <sharedItems count="38">
        <s v="ala01"/>
        <s v="ala02"/>
        <s v="ala08"/>
        <s v="ala10"/>
        <s v="ala12"/>
        <s v="ala14"/>
        <s v="ala21"/>
        <s v="del01"/>
        <s v="del07"/>
        <s v="del08"/>
        <s v="del09"/>
        <s v="del12"/>
        <s v="del20"/>
        <s v="dib01"/>
        <s v="dib02"/>
        <s v="dib03"/>
        <s v="dib04"/>
        <s v="dib06"/>
        <s v="dib08"/>
        <s v="dib15"/>
        <s v="dib16"/>
        <s v="ras04"/>
        <s v="ras07"/>
        <s v="ras09"/>
        <s v="ras11"/>
        <s v="ras12"/>
        <s v="ras13"/>
        <s v="ras15"/>
        <s v="ras16"/>
        <s v="ras21"/>
        <s v="sad05"/>
        <s v="sad07"/>
        <s v="sad08"/>
        <s v="sad12"/>
        <s v="sad13"/>
        <s v="sad14"/>
        <s v="sad15"/>
        <s v="sad22"/>
      </sharedItems>
    </cacheField>
    <cacheField name="year" numFmtId="0">
      <sharedItems containsSemiMixedTypes="0" containsString="0" containsNumber="1" containsInteger="1" minValue="2000" maxValue="2013" count="14">
        <n v="2005"/>
        <n v="2006"/>
        <n v="2007"/>
        <n v="2008"/>
        <n v="2009"/>
        <n v="2010"/>
        <n v="2011"/>
        <n v="2012"/>
        <n v="2013"/>
        <n v="2002"/>
        <n v="2003"/>
        <n v="2004"/>
        <n v="2000"/>
        <n v="2001"/>
      </sharedItems>
    </cacheField>
    <cacheField name="Site" numFmtId="0">
      <sharedItems/>
    </cacheField>
    <cacheField name="track" numFmtId="0">
      <sharedItems/>
    </cacheField>
    <cacheField name="sample" numFmtId="0">
      <sharedItems/>
    </cacheField>
    <cacheField name="calc" numFmtId="0">
      <sharedItems containsSemiMixedTypes="0" containsString="0" containsNumber="1" minValue="0.16500000000000001" maxValue="1.9930000000000001"/>
    </cacheField>
    <cacheField name="extension" numFmtId="0">
      <sharedItems containsSemiMixedTypes="0" containsString="0" containsNumber="1" minValue="0.16650000000000001" maxValue="1.5690999999999999"/>
    </cacheField>
    <cacheField name="StavR" numFmtId="0">
      <sharedItems containsSemiMixedTypes="0" containsString="0" containsNumber="1" minValue="31.180819672131101" maxValue="34.478360655737703"/>
    </cacheField>
    <cacheField name="WtavR" numFmtId="0">
      <sharedItems containsSemiMixedTypes="0" containsString="0" containsNumber="1" minValue="18.6267213114754" maxValue="23.751639344262301"/>
    </cacheField>
    <cacheField name="WtsdR" numFmtId="0">
      <sharedItems containsSemiMixedTypes="0" containsString="0" containsNumber="1" minValue="0.22679942271107401" maxValue="0.96474436717146494"/>
    </cacheField>
    <cacheField name="winSlope" numFmtId="0">
      <sharedItems containsSemiMixedTypes="0" containsString="0" containsNumber="1" minValue="3.8813433757253997E-2" maxValue="0.14216158373461699"/>
    </cacheField>
    <cacheField name="StsdR" numFmtId="0">
      <sharedItems containsSemiMixedTypes="0" containsString="0" containsNumber="1" minValue="0.287866753480778" maxValue="0.967430996113127"/>
    </cacheField>
    <cacheField name="sumSlope" numFmtId="0">
      <sharedItems containsSemiMixedTypes="0" containsString="0" containsNumber="1" minValue="-0.107925669835782" maxValue="-5.4092274766431199E-3"/>
    </cacheField>
    <cacheField name="WcsavR" numFmtId="0">
      <sharedItems containsSemiMixedTypes="0" containsString="0" containsNumber="1" minValue="3.8249999999999999E-2" maxValue="0.16898360655737699"/>
    </cacheField>
    <cacheField name="WcssdR" numFmtId="0">
      <sharedItems containsSemiMixedTypes="0" containsString="0" containsNumber="1" minValue="2.6544131349338002E-2" maxValue="0.120009512373434"/>
    </cacheField>
    <cacheField name="ScsavR" numFmtId="0">
      <sharedItems containsSemiMixedTypes="0" containsString="0" containsNumber="1" minValue="2.57627118644068E-2" maxValue="0.186172131147541"/>
    </cacheField>
    <cacheField name="ScssdR" numFmtId="0">
      <sharedItems containsSemiMixedTypes="0" containsString="0" containsNumber="1" minValue="1.6878203637716801E-2" maxValue="7.7371882118299998E-2"/>
    </cacheField>
    <cacheField name="ccoldday" numFmtId="0">
      <sharedItems containsSemiMixedTypes="0" containsString="0" containsNumber="1" containsInteger="1" minValue="7" maxValue="80"/>
    </cacheField>
    <cacheField name="warmday" numFmtId="0">
      <sharedItems containsSemiMixedTypes="0" containsString="0" containsNumber="1" containsInteger="1" minValue="254" maxValue="341"/>
    </cacheField>
    <cacheField name="gulf" numFmtId="0">
      <sharedItems/>
    </cacheField>
    <cacheField name="height" numFmtId="0">
      <sharedItems containsSemiMixedTypes="0" containsString="0" containsNumber="1" minValue="4" maxValue="15"/>
    </cacheField>
    <cacheField name="tf" numFmtId="0">
      <sharedItems/>
    </cacheField>
    <cacheField name="hname" numFmtId="0">
      <sharedItems/>
    </cacheField>
    <cacheField name="Bheight" numFmtId="0">
      <sharedItems containsSemiMixedTypes="0" containsString="0" containsNumber="1" minValue="1.0647000000000002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8">
  <r>
    <x v="0"/>
    <x v="0"/>
    <s v="AlAqah"/>
    <s v="t1"/>
    <s v="ala01_t1"/>
    <n v="0.872"/>
    <x v="0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0"/>
    <b v="1"/>
  </r>
  <r>
    <x v="0"/>
    <x v="1"/>
    <s v="AlAqah"/>
    <s v="t1"/>
    <s v="ala01_t1"/>
    <n v="0.75900000000000001"/>
    <x v="1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0"/>
    <b v="1"/>
  </r>
  <r>
    <x v="0"/>
    <x v="1"/>
    <s v="AlAqah"/>
    <s v="t2"/>
    <s v="ala01_t2"/>
    <n v="0.60199999999999998"/>
    <x v="2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0"/>
    <b v="1"/>
  </r>
  <r>
    <x v="0"/>
    <x v="2"/>
    <s v="AlAqah"/>
    <s v="t2"/>
    <s v="ala01_t2"/>
    <n v="1.244"/>
    <x v="3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0"/>
    <b v="1"/>
  </r>
  <r>
    <x v="0"/>
    <x v="2"/>
    <s v="AlAqah"/>
    <s v="t1"/>
    <s v="ala01_t1"/>
    <n v="0.83899999999999997"/>
    <x v="4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0"/>
    <b v="1"/>
  </r>
  <r>
    <x v="0"/>
    <x v="3"/>
    <s v="AlAqah"/>
    <s v="t2"/>
    <s v="ala01_t2"/>
    <n v="0.79900000000000004"/>
    <x v="5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0"/>
    <b v="1"/>
  </r>
  <r>
    <x v="0"/>
    <x v="3"/>
    <s v="AlAqah"/>
    <s v="t1"/>
    <s v="ala01_t1"/>
    <n v="0.86099999999999999"/>
    <x v="6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0"/>
    <b v="1"/>
  </r>
  <r>
    <x v="0"/>
    <x v="4"/>
    <s v="AlAqah"/>
    <s v="t2"/>
    <s v="ala01_t2"/>
    <n v="0.91200000000000003"/>
    <x v="7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0"/>
    <b v="1"/>
  </r>
  <r>
    <x v="0"/>
    <x v="4"/>
    <s v="AlAqah"/>
    <s v="t1"/>
    <s v="ala01_t1"/>
    <n v="0.41299999999999998"/>
    <x v="8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0"/>
    <b v="1"/>
  </r>
  <r>
    <x v="0"/>
    <x v="5"/>
    <s v="AlAqah"/>
    <s v="t1"/>
    <s v="ala01_t1"/>
    <n v="0.80800000000000005"/>
    <x v="9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0"/>
    <b v="1"/>
  </r>
  <r>
    <x v="0"/>
    <x v="5"/>
    <s v="AlAqah"/>
    <s v="t2"/>
    <s v="ala01_t2"/>
    <n v="0.68300000000000005"/>
    <x v="10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0"/>
    <b v="1"/>
  </r>
  <r>
    <x v="0"/>
    <x v="6"/>
    <s v="AlAqah"/>
    <s v="t1"/>
    <s v="ala01_t1"/>
    <n v="0.88200000000000001"/>
    <x v="11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0"/>
    <b v="1"/>
  </r>
  <r>
    <x v="0"/>
    <x v="6"/>
    <s v="AlAqah"/>
    <s v="t2"/>
    <s v="ala01_t2"/>
    <n v="0.78300000000000003"/>
    <x v="12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0"/>
    <b v="1"/>
  </r>
  <r>
    <x v="0"/>
    <x v="7"/>
    <s v="AlAqah"/>
    <s v="t2"/>
    <s v="ala01_t2"/>
    <n v="0.84399999999999997"/>
    <x v="13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0"/>
    <b v="1"/>
  </r>
  <r>
    <x v="0"/>
    <x v="7"/>
    <s v="AlAqah"/>
    <s v="t1"/>
    <s v="ala01_t1"/>
    <n v="1.0609999999999999"/>
    <x v="14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0"/>
    <b v="1"/>
  </r>
  <r>
    <x v="0"/>
    <x v="8"/>
    <s v="AlAqah"/>
    <s v="t2"/>
    <s v="ala01_t2"/>
    <n v="0.80800000000000005"/>
    <x v="15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0"/>
    <b v="1"/>
  </r>
  <r>
    <x v="0"/>
    <x v="8"/>
    <s v="AlAqah"/>
    <s v="t1"/>
    <s v="ala01_t1"/>
    <n v="1.121"/>
    <x v="16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0"/>
    <b v="1"/>
  </r>
  <r>
    <x v="1"/>
    <x v="5"/>
    <s v="AlAqah"/>
    <s v="t2"/>
    <s v="ala02_t2"/>
    <n v="1.528"/>
    <x v="17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1"/>
    <b v="1"/>
  </r>
  <r>
    <x v="1"/>
    <x v="5"/>
    <s v="AlAqah"/>
    <s v="t1"/>
    <s v="ala02_t1"/>
    <n v="1.452"/>
    <x v="18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1"/>
    <b v="1"/>
  </r>
  <r>
    <x v="1"/>
    <x v="6"/>
    <s v="AlAqah"/>
    <s v="t2"/>
    <s v="ala02_t2"/>
    <n v="1.2809999999999999"/>
    <x v="19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1"/>
    <b v="1"/>
  </r>
  <r>
    <x v="1"/>
    <x v="6"/>
    <s v="AlAqah"/>
    <s v="t1"/>
    <s v="ala02_t1"/>
    <n v="1.329"/>
    <x v="20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1"/>
    <b v="1"/>
  </r>
  <r>
    <x v="1"/>
    <x v="7"/>
    <s v="AlAqah"/>
    <s v="t2"/>
    <s v="ala02_t2"/>
    <n v="1.202"/>
    <x v="21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1"/>
    <b v="1"/>
  </r>
  <r>
    <x v="1"/>
    <x v="7"/>
    <s v="AlAqah"/>
    <s v="t1"/>
    <s v="ala02_t1"/>
    <n v="1.145"/>
    <x v="22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1"/>
    <b v="1"/>
  </r>
  <r>
    <x v="1"/>
    <x v="8"/>
    <s v="AlAqah"/>
    <s v="t1"/>
    <s v="ala02_t1"/>
    <n v="1.0269999999999999"/>
    <x v="23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1"/>
    <b v="1"/>
  </r>
  <r>
    <x v="1"/>
    <x v="8"/>
    <s v="AlAqah"/>
    <s v="t2"/>
    <s v="ala02_t2"/>
    <n v="1.385"/>
    <x v="24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1"/>
    <b v="1"/>
  </r>
  <r>
    <x v="2"/>
    <x v="0"/>
    <s v="AlAqah"/>
    <s v="t2"/>
    <s v="ala08_t2"/>
    <n v="1.177"/>
    <x v="25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2"/>
    <b v="1"/>
  </r>
  <r>
    <x v="2"/>
    <x v="0"/>
    <s v="AlAqah"/>
    <s v="t1"/>
    <s v="ala08_t1"/>
    <n v="1.1120000000000001"/>
    <x v="26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2"/>
    <b v="1"/>
  </r>
  <r>
    <x v="2"/>
    <x v="1"/>
    <s v="AlAqah"/>
    <s v="t2"/>
    <s v="ala08_t2"/>
    <n v="1.2909999999999999"/>
    <x v="27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2"/>
    <b v="1"/>
  </r>
  <r>
    <x v="2"/>
    <x v="1"/>
    <s v="AlAqah"/>
    <s v="t1"/>
    <s v="ala08_t1"/>
    <n v="0.65600000000000003"/>
    <x v="2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2"/>
    <b v="1"/>
  </r>
  <r>
    <x v="2"/>
    <x v="2"/>
    <s v="AlAqah"/>
    <s v="t2"/>
    <s v="ala08_t2"/>
    <n v="1.339"/>
    <x v="28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2"/>
    <b v="1"/>
  </r>
  <r>
    <x v="2"/>
    <x v="2"/>
    <s v="AlAqah"/>
    <s v="t1"/>
    <s v="ala08_t1"/>
    <n v="1.4490000000000001"/>
    <x v="29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2"/>
    <b v="1"/>
  </r>
  <r>
    <x v="2"/>
    <x v="3"/>
    <s v="AlAqah"/>
    <s v="t2"/>
    <s v="ala08_t2"/>
    <n v="0.876"/>
    <x v="30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2"/>
    <b v="1"/>
  </r>
  <r>
    <x v="2"/>
    <x v="3"/>
    <s v="AlAqah"/>
    <s v="t1"/>
    <s v="ala08_t1"/>
    <n v="0.57799999999999996"/>
    <x v="31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2"/>
    <b v="1"/>
  </r>
  <r>
    <x v="2"/>
    <x v="4"/>
    <s v="AlAqah"/>
    <s v="t1"/>
    <s v="ala08_t1"/>
    <n v="1.087"/>
    <x v="32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2"/>
    <b v="1"/>
  </r>
  <r>
    <x v="2"/>
    <x v="4"/>
    <s v="AlAqah"/>
    <s v="t2"/>
    <s v="ala08_t2"/>
    <n v="1.02"/>
    <x v="33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2"/>
    <b v="1"/>
  </r>
  <r>
    <x v="2"/>
    <x v="5"/>
    <s v="AlAqah"/>
    <s v="t2"/>
    <s v="ala08_t2"/>
    <n v="0.89300000000000002"/>
    <x v="3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2"/>
    <b v="1"/>
  </r>
  <r>
    <x v="2"/>
    <x v="5"/>
    <s v="AlAqah"/>
    <s v="t1"/>
    <s v="ala08_t1"/>
    <n v="0.78900000000000003"/>
    <x v="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2"/>
    <b v="1"/>
  </r>
  <r>
    <x v="2"/>
    <x v="6"/>
    <s v="AlAqah"/>
    <s v="t1"/>
    <s v="ala08_t1"/>
    <n v="0.56799999999999995"/>
    <x v="35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2"/>
    <b v="1"/>
  </r>
  <r>
    <x v="2"/>
    <x v="6"/>
    <s v="AlAqah"/>
    <s v="t2"/>
    <s v="ala08_t2"/>
    <n v="0.74"/>
    <x v="12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2"/>
    <b v="1"/>
  </r>
  <r>
    <x v="2"/>
    <x v="7"/>
    <s v="AlAqah"/>
    <s v="t2"/>
    <s v="ala08_t2"/>
    <n v="0.56299999999999994"/>
    <x v="36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2"/>
    <b v="1"/>
  </r>
  <r>
    <x v="2"/>
    <x v="7"/>
    <s v="AlAqah"/>
    <s v="t1"/>
    <s v="ala08_t1"/>
    <n v="0.70499999999999996"/>
    <x v="37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2"/>
    <b v="1"/>
  </r>
  <r>
    <x v="2"/>
    <x v="8"/>
    <s v="AlAqah"/>
    <s v="t2"/>
    <s v="ala08_t2"/>
    <n v="0.70699999999999996"/>
    <x v="0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2"/>
    <b v="1"/>
  </r>
  <r>
    <x v="2"/>
    <x v="8"/>
    <s v="AlAqah"/>
    <s v="t1"/>
    <s v="ala08_t1"/>
    <n v="0.94599999999999995"/>
    <x v="38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2"/>
    <b v="1"/>
  </r>
  <r>
    <x v="3"/>
    <x v="9"/>
    <s v="AlAqah"/>
    <s v="t2"/>
    <s v="ala10_t2"/>
    <n v="1.173"/>
    <x v="39"/>
    <n v="32.909999999999997"/>
    <n v="23.496885245901598"/>
    <n v="0.42646039669042601"/>
    <n v="5.0457998929909001E-2"/>
    <n v="0.55645305282656199"/>
    <n v="-3.03648187018975E-2"/>
    <n v="0.119295081967213"/>
    <n v="6.8284294012189703E-2"/>
    <n v="0.13786885245901601"/>
    <n v="4.3507269664519302E-2"/>
    <n v="33"/>
    <n v="292"/>
    <s v="oman"/>
    <x v="3"/>
    <b v="1"/>
  </r>
  <r>
    <x v="3"/>
    <x v="10"/>
    <s v="AlAqah"/>
    <s v="t2"/>
    <s v="ala10_t2"/>
    <n v="1.133"/>
    <x v="40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x v="3"/>
    <b v="1"/>
  </r>
  <r>
    <x v="3"/>
    <x v="10"/>
    <s v="AlAqah"/>
    <s v="t1"/>
    <s v="ala10_t1"/>
    <n v="0.88200000000000001"/>
    <x v="41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x v="3"/>
    <b v="1"/>
  </r>
  <r>
    <x v="3"/>
    <x v="11"/>
    <s v="AlAqah"/>
    <s v="t1"/>
    <s v="ala10_t1"/>
    <n v="1.482"/>
    <x v="42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x v="3"/>
    <b v="1"/>
  </r>
  <r>
    <x v="3"/>
    <x v="11"/>
    <s v="AlAqah"/>
    <s v="t2"/>
    <s v="ala10_t2"/>
    <n v="1.302"/>
    <x v="28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x v="3"/>
    <b v="1"/>
  </r>
  <r>
    <x v="3"/>
    <x v="0"/>
    <s v="AlAqah"/>
    <s v="t2"/>
    <s v="ala10_t2"/>
    <n v="1.167"/>
    <x v="43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3"/>
    <b v="1"/>
  </r>
  <r>
    <x v="3"/>
    <x v="0"/>
    <s v="AlAqah"/>
    <s v="t1"/>
    <s v="ala10_t1"/>
    <n v="0.67900000000000005"/>
    <x v="44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3"/>
    <b v="1"/>
  </r>
  <r>
    <x v="3"/>
    <x v="1"/>
    <s v="AlAqah"/>
    <s v="t1"/>
    <s v="ala10_t1"/>
    <n v="0.98199999999999998"/>
    <x v="5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3"/>
    <b v="1"/>
  </r>
  <r>
    <x v="3"/>
    <x v="1"/>
    <s v="AlAqah"/>
    <s v="t2"/>
    <s v="ala10_t2"/>
    <n v="0.92700000000000005"/>
    <x v="45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3"/>
    <b v="1"/>
  </r>
  <r>
    <x v="3"/>
    <x v="2"/>
    <s v="AlAqah"/>
    <s v="t1"/>
    <s v="ala10_t1"/>
    <n v="0.94199999999999995"/>
    <x v="46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3"/>
    <b v="1"/>
  </r>
  <r>
    <x v="3"/>
    <x v="2"/>
    <s v="AlAqah"/>
    <s v="t2"/>
    <s v="ala10_t2"/>
    <n v="0.77500000000000002"/>
    <x v="47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3"/>
    <b v="1"/>
  </r>
  <r>
    <x v="3"/>
    <x v="3"/>
    <s v="AlAqah"/>
    <s v="t1"/>
    <s v="ala10_t1"/>
    <n v="0.81399999999999995"/>
    <x v="48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3"/>
    <b v="1"/>
  </r>
  <r>
    <x v="3"/>
    <x v="3"/>
    <s v="AlAqah"/>
    <s v="t2"/>
    <s v="ala10_t2"/>
    <n v="0.71499999999999997"/>
    <x v="49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3"/>
    <b v="1"/>
  </r>
  <r>
    <x v="3"/>
    <x v="4"/>
    <s v="AlAqah"/>
    <s v="t2"/>
    <s v="ala10_t2"/>
    <n v="0.92700000000000005"/>
    <x v="50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3"/>
    <b v="1"/>
  </r>
  <r>
    <x v="3"/>
    <x v="4"/>
    <s v="AlAqah"/>
    <s v="t1"/>
    <s v="ala10_t1"/>
    <n v="1.2869999999999999"/>
    <x v="51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3"/>
    <b v="1"/>
  </r>
  <r>
    <x v="3"/>
    <x v="5"/>
    <s v="AlAqah"/>
    <s v="t2"/>
    <s v="ala10_t2"/>
    <n v="0.86"/>
    <x v="52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3"/>
    <b v="1"/>
  </r>
  <r>
    <x v="3"/>
    <x v="5"/>
    <s v="AlAqah"/>
    <s v="t1"/>
    <s v="ala10_t1"/>
    <n v="1.619"/>
    <x v="53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3"/>
    <b v="1"/>
  </r>
  <r>
    <x v="3"/>
    <x v="6"/>
    <s v="AlAqah"/>
    <s v="t1"/>
    <s v="ala10_t1"/>
    <n v="0.76900000000000002"/>
    <x v="54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3"/>
    <b v="1"/>
  </r>
  <r>
    <x v="3"/>
    <x v="6"/>
    <s v="AlAqah"/>
    <s v="t2"/>
    <s v="ala10_t2"/>
    <n v="0.88700000000000001"/>
    <x v="55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3"/>
    <b v="1"/>
  </r>
  <r>
    <x v="3"/>
    <x v="7"/>
    <s v="AlAqah"/>
    <s v="t2"/>
    <s v="ala10_t2"/>
    <n v="0.89400000000000002"/>
    <x v="56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3"/>
    <b v="1"/>
  </r>
  <r>
    <x v="3"/>
    <x v="7"/>
    <s v="AlAqah"/>
    <s v="t1"/>
    <s v="ala10_t1"/>
    <n v="0.998"/>
    <x v="0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3"/>
    <b v="1"/>
  </r>
  <r>
    <x v="3"/>
    <x v="8"/>
    <s v="AlAqah"/>
    <s v="t1"/>
    <s v="ala10_t1"/>
    <n v="0.872"/>
    <x v="56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3"/>
    <b v="1"/>
  </r>
  <r>
    <x v="3"/>
    <x v="8"/>
    <s v="AlAqah"/>
    <s v="t2"/>
    <s v="ala10_t2"/>
    <n v="0.46500000000000002"/>
    <x v="44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3"/>
    <b v="1"/>
  </r>
  <r>
    <x v="4"/>
    <x v="12"/>
    <s v="AlAqah"/>
    <s v="t1"/>
    <s v="ala12_t1"/>
    <n v="0.79700000000000004"/>
    <x v="9"/>
    <n v="32.322786885245897"/>
    <n v="23.145901639344299"/>
    <n v="0.42378601931155602"/>
    <n v="9.5854138370992395E-2"/>
    <n v="0.54712209085899699"/>
    <n v="-3.38162736140264E-2"/>
    <n v="0.147639344262295"/>
    <n v="7.5325523073056094E-2"/>
    <n v="0.186172131147541"/>
    <n v="7.7371882118299998E-2"/>
    <n v="42"/>
    <n v="301"/>
    <s v="oman"/>
    <x v="4"/>
    <b v="1"/>
  </r>
  <r>
    <x v="4"/>
    <x v="12"/>
    <s v="AlAqah"/>
    <s v="t2"/>
    <s v="ala12_t2"/>
    <n v="1.0069999999999999"/>
    <x v="57"/>
    <n v="32.322786885245897"/>
    <n v="23.145901639344299"/>
    <n v="0.42378601931155602"/>
    <n v="9.5854138370992395E-2"/>
    <n v="0.54712209085899699"/>
    <n v="-3.38162736140264E-2"/>
    <n v="0.147639344262295"/>
    <n v="7.5325523073056094E-2"/>
    <n v="0.186172131147541"/>
    <n v="7.7371882118299998E-2"/>
    <n v="42"/>
    <n v="301"/>
    <s v="oman"/>
    <x v="4"/>
    <b v="1"/>
  </r>
  <r>
    <x v="4"/>
    <x v="13"/>
    <s v="AlAqah"/>
    <s v="t1"/>
    <s v="ala12_t1"/>
    <n v="1.26"/>
    <x v="57"/>
    <n v="32.527213114754097"/>
    <n v="22.8627868852459"/>
    <n v="0.40595209548065703"/>
    <n v="7.0665267316952704E-2"/>
    <n v="0.58467407201944799"/>
    <n v="-2.2338313372021201E-2"/>
    <n v="0.10418032786885199"/>
    <n v="5.2291971403113501E-2"/>
    <n v="0.14744262295082"/>
    <n v="6.1933438623025999E-2"/>
    <n v="35"/>
    <n v="263"/>
    <s v="oman"/>
    <x v="4"/>
    <b v="1"/>
  </r>
  <r>
    <x v="4"/>
    <x v="13"/>
    <s v="AlAqah"/>
    <s v="t2"/>
    <s v="ala12_t2"/>
    <n v="0.88400000000000001"/>
    <x v="58"/>
    <n v="32.527213114754097"/>
    <n v="22.8627868852459"/>
    <n v="0.40595209548065703"/>
    <n v="7.0665267316952704E-2"/>
    <n v="0.58467407201944799"/>
    <n v="-2.2338313372021201E-2"/>
    <n v="0.10418032786885199"/>
    <n v="5.2291971403113501E-2"/>
    <n v="0.14744262295082"/>
    <n v="6.1933438623025999E-2"/>
    <n v="35"/>
    <n v="263"/>
    <s v="oman"/>
    <x v="4"/>
    <b v="1"/>
  </r>
  <r>
    <x v="4"/>
    <x v="9"/>
    <s v="AlAqah"/>
    <s v="t1"/>
    <s v="ala12_t1"/>
    <n v="0.81499999999999995"/>
    <x v="34"/>
    <n v="32.909999999999997"/>
    <n v="23.496885245901598"/>
    <n v="0.42646039669042601"/>
    <n v="5.0457998929909001E-2"/>
    <n v="0.55645305282656199"/>
    <n v="-3.03648187018975E-2"/>
    <n v="0.119295081967213"/>
    <n v="6.8284294012189703E-2"/>
    <n v="0.13786885245901601"/>
    <n v="4.3507269664519302E-2"/>
    <n v="33"/>
    <n v="292"/>
    <s v="oman"/>
    <x v="4"/>
    <b v="1"/>
  </r>
  <r>
    <x v="4"/>
    <x v="9"/>
    <s v="AlAqah"/>
    <s v="t2"/>
    <s v="ala12_t2"/>
    <n v="0.98199999999999998"/>
    <x v="51"/>
    <n v="32.909999999999997"/>
    <n v="23.496885245901598"/>
    <n v="0.42646039669042601"/>
    <n v="5.0457998929909001E-2"/>
    <n v="0.55645305282656199"/>
    <n v="-3.03648187018975E-2"/>
    <n v="0.119295081967213"/>
    <n v="6.8284294012189703E-2"/>
    <n v="0.13786885245901601"/>
    <n v="4.3507269664519302E-2"/>
    <n v="33"/>
    <n v="292"/>
    <s v="oman"/>
    <x v="4"/>
    <b v="1"/>
  </r>
  <r>
    <x v="4"/>
    <x v="10"/>
    <s v="AlAqah"/>
    <s v="t1"/>
    <s v="ala12_t1"/>
    <n v="1.8320000000000001"/>
    <x v="59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x v="4"/>
    <b v="1"/>
  </r>
  <r>
    <x v="4"/>
    <x v="10"/>
    <s v="AlAqah"/>
    <s v="t2"/>
    <s v="ala12_t2"/>
    <n v="0.93600000000000005"/>
    <x v="60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x v="4"/>
    <b v="1"/>
  </r>
  <r>
    <x v="4"/>
    <x v="11"/>
    <s v="AlAqah"/>
    <s v="t1"/>
    <s v="ala12_t1"/>
    <n v="1.21"/>
    <x v="61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x v="4"/>
    <b v="1"/>
  </r>
  <r>
    <x v="4"/>
    <x v="11"/>
    <s v="AlAqah"/>
    <s v="t2"/>
    <s v="ala12_t2"/>
    <n v="1.042"/>
    <x v="18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x v="4"/>
    <b v="1"/>
  </r>
  <r>
    <x v="4"/>
    <x v="0"/>
    <s v="AlAqah"/>
    <s v="t2"/>
    <s v="ala12_t2"/>
    <n v="1.68"/>
    <x v="62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4"/>
    <b v="1"/>
  </r>
  <r>
    <x v="4"/>
    <x v="0"/>
    <s v="AlAqah"/>
    <s v="t1"/>
    <s v="ala12_t1"/>
    <n v="0.69599999999999995"/>
    <x v="63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x v="4"/>
    <b v="1"/>
  </r>
  <r>
    <x v="4"/>
    <x v="1"/>
    <s v="AlAqah"/>
    <s v="t1"/>
    <s v="ala12_t1"/>
    <n v="0.72699999999999998"/>
    <x v="64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4"/>
    <b v="1"/>
  </r>
  <r>
    <x v="4"/>
    <x v="1"/>
    <s v="AlAqah"/>
    <s v="t2"/>
    <s v="ala12_t2"/>
    <n v="1.403"/>
    <x v="9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x v="4"/>
    <b v="1"/>
  </r>
  <r>
    <x v="4"/>
    <x v="2"/>
    <s v="AlAqah"/>
    <s v="t2"/>
    <s v="ala12_t2"/>
    <n v="0.64800000000000002"/>
    <x v="50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4"/>
    <b v="1"/>
  </r>
  <r>
    <x v="4"/>
    <x v="2"/>
    <s v="AlAqah"/>
    <s v="t1"/>
    <s v="ala12_t1"/>
    <n v="0.505"/>
    <x v="65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x v="4"/>
    <b v="1"/>
  </r>
  <r>
    <x v="4"/>
    <x v="3"/>
    <s v="AlAqah"/>
    <s v="t1"/>
    <s v="ala12_t1"/>
    <n v="0.42199999999999999"/>
    <x v="36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4"/>
    <b v="1"/>
  </r>
  <r>
    <x v="4"/>
    <x v="3"/>
    <s v="AlAqah"/>
    <s v="t2"/>
    <s v="ala12_t2"/>
    <n v="0.50900000000000001"/>
    <x v="66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4"/>
    <b v="1"/>
  </r>
  <r>
    <x v="4"/>
    <x v="4"/>
    <s v="AlAqah"/>
    <s v="t2"/>
    <s v="ala12_t2"/>
    <n v="0.29799999999999999"/>
    <x v="67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4"/>
    <b v="1"/>
  </r>
  <r>
    <x v="4"/>
    <x v="4"/>
    <s v="AlAqah"/>
    <s v="t1"/>
    <s v="ala12_t1"/>
    <n v="0.47899999999999998"/>
    <x v="68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4"/>
    <b v="1"/>
  </r>
  <r>
    <x v="4"/>
    <x v="5"/>
    <s v="AlAqah"/>
    <s v="t2"/>
    <s v="ala12_t2"/>
    <n v="0.60799999999999998"/>
    <x v="5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4"/>
    <b v="1"/>
  </r>
  <r>
    <x v="4"/>
    <x v="5"/>
    <s v="AlAqah"/>
    <s v="t1"/>
    <s v="ala12_t1"/>
    <n v="0.56100000000000005"/>
    <x v="0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4"/>
    <b v="1"/>
  </r>
  <r>
    <x v="4"/>
    <x v="6"/>
    <s v="AlAqah"/>
    <s v="t1"/>
    <s v="ala12_t1"/>
    <n v="0.23899999999999999"/>
    <x v="69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4"/>
    <b v="1"/>
  </r>
  <r>
    <x v="4"/>
    <x v="6"/>
    <s v="AlAqah"/>
    <s v="t2"/>
    <s v="ala12_t2"/>
    <n v="0.372"/>
    <x v="70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4"/>
    <b v="1"/>
  </r>
  <r>
    <x v="4"/>
    <x v="7"/>
    <s v="AlAqah"/>
    <s v="t2"/>
    <s v="ala12_t2"/>
    <n v="0.35699999999999998"/>
    <x v="71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4"/>
    <b v="1"/>
  </r>
  <r>
    <x v="4"/>
    <x v="7"/>
    <s v="AlAqah"/>
    <s v="t1"/>
    <s v="ala12_t1"/>
    <n v="0.51400000000000001"/>
    <x v="8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4"/>
    <b v="1"/>
  </r>
  <r>
    <x v="4"/>
    <x v="8"/>
    <s v="AlAqah"/>
    <s v="t1"/>
    <s v="ala12_t1"/>
    <n v="0.503"/>
    <x v="72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4"/>
    <b v="1"/>
  </r>
  <r>
    <x v="4"/>
    <x v="8"/>
    <s v="AlAqah"/>
    <s v="t2"/>
    <s v="ala12_t2"/>
    <n v="0.71899999999999997"/>
    <x v="73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4"/>
    <b v="1"/>
  </r>
  <r>
    <x v="5"/>
    <x v="5"/>
    <s v="AlAqah"/>
    <s v="t1"/>
    <s v="ala14_t1"/>
    <n v="0.88100000000000001"/>
    <x v="62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1"/>
    <b v="1"/>
  </r>
  <r>
    <x v="5"/>
    <x v="5"/>
    <s v="AlAqah"/>
    <s v="t2"/>
    <s v="ala14_t2"/>
    <n v="1.833"/>
    <x v="7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1"/>
    <b v="1"/>
  </r>
  <r>
    <x v="5"/>
    <x v="6"/>
    <s v="AlAqah"/>
    <s v="t2"/>
    <s v="ala14_t2"/>
    <n v="1.052"/>
    <x v="75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1"/>
    <b v="1"/>
  </r>
  <r>
    <x v="5"/>
    <x v="6"/>
    <s v="AlAqah"/>
    <s v="t1"/>
    <s v="ala14_t1"/>
    <n v="0.96699999999999997"/>
    <x v="76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1"/>
    <b v="1"/>
  </r>
  <r>
    <x v="5"/>
    <x v="7"/>
    <s v="AlAqah"/>
    <s v="t2"/>
    <s v="ala14_t2"/>
    <n v="1.32"/>
    <x v="22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1"/>
    <b v="1"/>
  </r>
  <r>
    <x v="5"/>
    <x v="7"/>
    <s v="AlAqah"/>
    <s v="t1"/>
    <s v="ala14_t1"/>
    <n v="0.97"/>
    <x v="26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1"/>
    <b v="1"/>
  </r>
  <r>
    <x v="5"/>
    <x v="8"/>
    <s v="AlAqah"/>
    <s v="t1"/>
    <s v="ala14_t1"/>
    <n v="1.335"/>
    <x v="77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1"/>
    <b v="1"/>
  </r>
  <r>
    <x v="5"/>
    <x v="8"/>
    <s v="AlAqah"/>
    <s v="t2"/>
    <s v="ala14_t2"/>
    <n v="0.95199999999999996"/>
    <x v="78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1"/>
    <b v="1"/>
  </r>
  <r>
    <x v="6"/>
    <x v="3"/>
    <s v="AlAqah"/>
    <s v="t2"/>
    <s v="ala21_t2"/>
    <n v="1.149"/>
    <x v="72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5"/>
    <b v="1"/>
  </r>
  <r>
    <x v="6"/>
    <x v="3"/>
    <s v="AlAqah"/>
    <s v="t1"/>
    <s v="ala21_t1"/>
    <n v="1.9930000000000001"/>
    <x v="79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x v="5"/>
    <b v="1"/>
  </r>
  <r>
    <x v="6"/>
    <x v="4"/>
    <s v="AlAqah"/>
    <s v="t1"/>
    <s v="ala21_t1"/>
    <n v="0.95799999999999996"/>
    <x v="80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5"/>
    <b v="1"/>
  </r>
  <r>
    <x v="6"/>
    <x v="4"/>
    <s v="AlAqah"/>
    <s v="t2"/>
    <s v="ala21_t2"/>
    <n v="0.83099999999999996"/>
    <x v="81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x v="5"/>
    <b v="1"/>
  </r>
  <r>
    <x v="6"/>
    <x v="5"/>
    <s v="AlAqah"/>
    <s v="t2"/>
    <s v="ala21_t2"/>
    <n v="1.284"/>
    <x v="82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5"/>
    <b v="1"/>
  </r>
  <r>
    <x v="6"/>
    <x v="5"/>
    <s v="AlAqah"/>
    <s v="t1"/>
    <s v="ala21_t1"/>
    <n v="1.4510000000000001"/>
    <x v="83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x v="5"/>
    <b v="1"/>
  </r>
  <r>
    <x v="6"/>
    <x v="6"/>
    <s v="AlAqah"/>
    <s v="t2"/>
    <s v="ala21_t2"/>
    <n v="1.2370000000000001"/>
    <x v="62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5"/>
    <b v="1"/>
  </r>
  <r>
    <x v="6"/>
    <x v="6"/>
    <s v="AlAqah"/>
    <s v="t1"/>
    <s v="ala21_t1"/>
    <n v="1.131"/>
    <x v="84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x v="5"/>
    <b v="1"/>
  </r>
  <r>
    <x v="6"/>
    <x v="7"/>
    <s v="AlAqah"/>
    <s v="t2"/>
    <s v="ala21_t2"/>
    <n v="0.99"/>
    <x v="85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5"/>
    <b v="1"/>
  </r>
  <r>
    <x v="6"/>
    <x v="7"/>
    <s v="AlAqah"/>
    <s v="t1"/>
    <s v="ala21_t1"/>
    <n v="1.087"/>
    <x v="86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x v="5"/>
    <b v="1"/>
  </r>
  <r>
    <x v="6"/>
    <x v="8"/>
    <s v="AlAqah"/>
    <s v="t2"/>
    <s v="ala21_t2"/>
    <n v="1.1579999999999999"/>
    <x v="34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5"/>
    <b v="1"/>
  </r>
  <r>
    <x v="6"/>
    <x v="8"/>
    <s v="AlAqah"/>
    <s v="t1"/>
    <s v="ala21_t1"/>
    <n v="1.169"/>
    <x v="87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x v="5"/>
    <b v="1"/>
  </r>
  <r>
    <x v="7"/>
    <x v="11"/>
    <s v="Delma"/>
    <s v="t2"/>
    <s v="del01_t2"/>
    <n v="0.747"/>
    <x v="10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0"/>
    <b v="1"/>
  </r>
  <r>
    <x v="7"/>
    <x v="11"/>
    <s v="Delma"/>
    <s v="t1"/>
    <s v="del01_t1"/>
    <n v="0.33100000000000002"/>
    <x v="88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0"/>
    <b v="1"/>
  </r>
  <r>
    <x v="7"/>
    <x v="0"/>
    <s v="Delma"/>
    <s v="t1"/>
    <s v="del01_t1"/>
    <n v="0.73799999999999999"/>
    <x v="89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0"/>
    <b v="1"/>
  </r>
  <r>
    <x v="7"/>
    <x v="0"/>
    <s v="Delma"/>
    <s v="t2"/>
    <s v="del01_t2"/>
    <n v="0.58899999999999997"/>
    <x v="90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0"/>
    <b v="1"/>
  </r>
  <r>
    <x v="7"/>
    <x v="1"/>
    <s v="Delma"/>
    <s v="t2"/>
    <s v="del01_t2"/>
    <n v="0.42299999999999999"/>
    <x v="91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0"/>
    <b v="1"/>
  </r>
  <r>
    <x v="7"/>
    <x v="1"/>
    <s v="Delma"/>
    <s v="t1"/>
    <s v="del01_t1"/>
    <n v="0.65500000000000003"/>
    <x v="92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0"/>
    <b v="1"/>
  </r>
  <r>
    <x v="7"/>
    <x v="2"/>
    <s v="Delma"/>
    <s v="t2"/>
    <s v="del01_t2"/>
    <n v="0.80900000000000005"/>
    <x v="93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0"/>
    <b v="1"/>
  </r>
  <r>
    <x v="7"/>
    <x v="2"/>
    <s v="Delma"/>
    <s v="t1"/>
    <s v="del01_t1"/>
    <n v="1.02"/>
    <x v="94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0"/>
    <b v="1"/>
  </r>
  <r>
    <x v="7"/>
    <x v="3"/>
    <s v="Delma"/>
    <s v="t2"/>
    <s v="del01_t2"/>
    <n v="0.504"/>
    <x v="95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0"/>
    <b v="1"/>
  </r>
  <r>
    <x v="7"/>
    <x v="3"/>
    <s v="Delma"/>
    <s v="t1"/>
    <s v="del01_t1"/>
    <n v="0.752"/>
    <x v="96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0"/>
    <b v="1"/>
  </r>
  <r>
    <x v="7"/>
    <x v="4"/>
    <s v="Delma"/>
    <s v="t1"/>
    <s v="del01_t1"/>
    <n v="0.86099999999999999"/>
    <x v="97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0"/>
    <b v="1"/>
  </r>
  <r>
    <x v="7"/>
    <x v="4"/>
    <s v="Delma"/>
    <s v="t2"/>
    <s v="del01_t2"/>
    <n v="1.1830000000000001"/>
    <x v="98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0"/>
    <b v="1"/>
  </r>
  <r>
    <x v="7"/>
    <x v="5"/>
    <s v="Delma"/>
    <s v="t2"/>
    <s v="del01_t2"/>
    <n v="0.44400000000000001"/>
    <x v="99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0"/>
    <b v="1"/>
  </r>
  <r>
    <x v="7"/>
    <x v="5"/>
    <s v="Delma"/>
    <s v="t1"/>
    <s v="del01_t1"/>
    <n v="0.40899999999999997"/>
    <x v="100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0"/>
    <b v="1"/>
  </r>
  <r>
    <x v="7"/>
    <x v="6"/>
    <s v="Delma"/>
    <s v="t1"/>
    <s v="del01_t1"/>
    <n v="0.67500000000000004"/>
    <x v="4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0"/>
    <b v="1"/>
  </r>
  <r>
    <x v="7"/>
    <x v="6"/>
    <s v="Delma"/>
    <s v="t2"/>
    <s v="del01_t2"/>
    <n v="0.45800000000000002"/>
    <x v="101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0"/>
    <b v="1"/>
  </r>
  <r>
    <x v="7"/>
    <x v="7"/>
    <s v="Delma"/>
    <s v="t1"/>
    <s v="del01_t1"/>
    <n v="0.71799999999999997"/>
    <x v="102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0"/>
    <b v="1"/>
  </r>
  <r>
    <x v="7"/>
    <x v="7"/>
    <s v="Delma"/>
    <s v="t2"/>
    <s v="del01_t2"/>
    <n v="0.69299999999999995"/>
    <x v="10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0"/>
    <b v="1"/>
  </r>
  <r>
    <x v="7"/>
    <x v="8"/>
    <s v="Delma"/>
    <s v="t1"/>
    <s v="del01_t1"/>
    <n v="0.36"/>
    <x v="104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0"/>
    <b v="1"/>
  </r>
  <r>
    <x v="8"/>
    <x v="11"/>
    <s v="Delma"/>
    <s v="t2"/>
    <s v="del07_t2"/>
    <n v="0.879"/>
    <x v="51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6"/>
    <b v="1"/>
  </r>
  <r>
    <x v="8"/>
    <x v="11"/>
    <s v="Delma"/>
    <s v="t1"/>
    <s v="del07_t1"/>
    <n v="0.75600000000000001"/>
    <x v="86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6"/>
    <b v="1"/>
  </r>
  <r>
    <x v="8"/>
    <x v="0"/>
    <s v="Delma"/>
    <s v="t2"/>
    <s v="del07_t2"/>
    <n v="0.89400000000000002"/>
    <x v="105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6"/>
    <b v="1"/>
  </r>
  <r>
    <x v="8"/>
    <x v="0"/>
    <s v="Delma"/>
    <s v="t1"/>
    <s v="del07_t1"/>
    <n v="0.98499999999999999"/>
    <x v="106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6"/>
    <b v="1"/>
  </r>
  <r>
    <x v="8"/>
    <x v="1"/>
    <s v="Delma"/>
    <s v="t2"/>
    <s v="del07_t2"/>
    <n v="0.5"/>
    <x v="107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6"/>
    <b v="1"/>
  </r>
  <r>
    <x v="8"/>
    <x v="1"/>
    <s v="Delma"/>
    <s v="t1"/>
    <s v="del07_t1"/>
    <n v="0.66800000000000004"/>
    <x v="108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6"/>
    <b v="1"/>
  </r>
  <r>
    <x v="8"/>
    <x v="2"/>
    <s v="Delma"/>
    <s v="t1"/>
    <s v="del07_t1"/>
    <n v="1.0780000000000001"/>
    <x v="109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6"/>
    <b v="1"/>
  </r>
  <r>
    <x v="8"/>
    <x v="2"/>
    <s v="Delma"/>
    <s v="t2"/>
    <s v="del07_t2"/>
    <n v="0.72699999999999998"/>
    <x v="110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6"/>
    <b v="1"/>
  </r>
  <r>
    <x v="8"/>
    <x v="3"/>
    <s v="Delma"/>
    <s v="t2"/>
    <s v="del07_t2"/>
    <n v="0.53300000000000003"/>
    <x v="111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6"/>
    <b v="1"/>
  </r>
  <r>
    <x v="8"/>
    <x v="3"/>
    <s v="Delma"/>
    <s v="t1"/>
    <s v="del07_t1"/>
    <n v="0.88"/>
    <x v="112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6"/>
    <b v="1"/>
  </r>
  <r>
    <x v="8"/>
    <x v="4"/>
    <s v="Delma"/>
    <s v="t1"/>
    <s v="del07_t1"/>
    <n v="1.129"/>
    <x v="113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6"/>
    <b v="1"/>
  </r>
  <r>
    <x v="8"/>
    <x v="4"/>
    <s v="Delma"/>
    <s v="t2"/>
    <s v="del07_t2"/>
    <n v="1.431"/>
    <x v="114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6"/>
    <b v="1"/>
  </r>
  <r>
    <x v="8"/>
    <x v="5"/>
    <s v="Delma"/>
    <s v="t1"/>
    <s v="del07_t1"/>
    <n v="1.1499999999999999"/>
    <x v="115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6"/>
    <b v="1"/>
  </r>
  <r>
    <x v="8"/>
    <x v="5"/>
    <s v="Delma"/>
    <s v="t2"/>
    <s v="del07_t2"/>
    <n v="0.77200000000000002"/>
    <x v="92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6"/>
    <b v="1"/>
  </r>
  <r>
    <x v="8"/>
    <x v="6"/>
    <s v="Delma"/>
    <s v="t1"/>
    <s v="del07_t1"/>
    <n v="1.2370000000000001"/>
    <x v="83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6"/>
    <b v="1"/>
  </r>
  <r>
    <x v="8"/>
    <x v="6"/>
    <s v="Delma"/>
    <s v="t2"/>
    <s v="del07_t2"/>
    <n v="0.81799999999999995"/>
    <x v="110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6"/>
    <b v="1"/>
  </r>
  <r>
    <x v="8"/>
    <x v="7"/>
    <s v="Delma"/>
    <s v="t2"/>
    <s v="del07_t2"/>
    <n v="0.94899999999999995"/>
    <x v="12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6"/>
    <b v="1"/>
  </r>
  <r>
    <x v="8"/>
    <x v="7"/>
    <s v="Delma"/>
    <s v="t1"/>
    <s v="del07_t1"/>
    <n v="1.1339999999999999"/>
    <x v="116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6"/>
    <b v="1"/>
  </r>
  <r>
    <x v="8"/>
    <x v="8"/>
    <s v="Delma"/>
    <s v="t2"/>
    <s v="del07_t2"/>
    <n v="0.746"/>
    <x v="41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6"/>
    <b v="1"/>
  </r>
  <r>
    <x v="8"/>
    <x v="8"/>
    <s v="Delma"/>
    <s v="t1"/>
    <s v="del07_t1"/>
    <n v="1.647"/>
    <x v="117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6"/>
    <b v="1"/>
  </r>
  <r>
    <x v="9"/>
    <x v="0"/>
    <s v="Delma"/>
    <s v="t2"/>
    <s v="del08_t2"/>
    <n v="0.626"/>
    <x v="90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2"/>
    <b v="1"/>
  </r>
  <r>
    <x v="9"/>
    <x v="1"/>
    <s v="Delma"/>
    <s v="t2"/>
    <s v="del08_t2"/>
    <n v="0.66100000000000003"/>
    <x v="118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2"/>
    <b v="1"/>
  </r>
  <r>
    <x v="9"/>
    <x v="2"/>
    <s v="Delma"/>
    <s v="t2"/>
    <s v="del08_t2"/>
    <n v="0.44400000000000001"/>
    <x v="104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2"/>
    <b v="1"/>
  </r>
  <r>
    <x v="9"/>
    <x v="3"/>
    <s v="Delma"/>
    <s v="t1"/>
    <s v="del08_t1"/>
    <n v="1.1839999999999999"/>
    <x v="119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2"/>
    <b v="1"/>
  </r>
  <r>
    <x v="9"/>
    <x v="3"/>
    <s v="Delma"/>
    <s v="t2"/>
    <s v="del08_t2"/>
    <n v="1.5289999999999999"/>
    <x v="120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2"/>
    <b v="1"/>
  </r>
  <r>
    <x v="9"/>
    <x v="4"/>
    <s v="Delma"/>
    <s v="t2"/>
    <s v="del08_t2"/>
    <n v="1.0609999999999999"/>
    <x v="12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2"/>
    <b v="1"/>
  </r>
  <r>
    <x v="9"/>
    <x v="4"/>
    <s v="Delma"/>
    <s v="t1"/>
    <s v="del08_t1"/>
    <n v="1.042"/>
    <x v="17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2"/>
    <b v="1"/>
  </r>
  <r>
    <x v="9"/>
    <x v="5"/>
    <s v="Delma"/>
    <s v="t2"/>
    <s v="del08_t2"/>
    <n v="1.456"/>
    <x v="122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2"/>
    <b v="1"/>
  </r>
  <r>
    <x v="9"/>
    <x v="5"/>
    <s v="Delma"/>
    <s v="t1"/>
    <s v="del08_t1"/>
    <n v="0.88500000000000001"/>
    <x v="123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2"/>
    <b v="1"/>
  </r>
  <r>
    <x v="9"/>
    <x v="6"/>
    <s v="Delma"/>
    <s v="t1"/>
    <s v="del08_t1"/>
    <n v="0.86499999999999999"/>
    <x v="3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2"/>
    <b v="1"/>
  </r>
  <r>
    <x v="9"/>
    <x v="6"/>
    <s v="Delma"/>
    <s v="t2"/>
    <s v="del08_t2"/>
    <n v="0.86099999999999999"/>
    <x v="89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2"/>
    <b v="1"/>
  </r>
  <r>
    <x v="9"/>
    <x v="7"/>
    <s v="Delma"/>
    <s v="t1"/>
    <s v="del08_t1"/>
    <n v="0.83699999999999997"/>
    <x v="28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2"/>
    <b v="1"/>
  </r>
  <r>
    <x v="9"/>
    <x v="7"/>
    <s v="Delma"/>
    <s v="t2"/>
    <s v="del08_t2"/>
    <n v="0.94799999999999995"/>
    <x v="46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2"/>
    <b v="1"/>
  </r>
  <r>
    <x v="9"/>
    <x v="8"/>
    <s v="Delma"/>
    <s v="t1"/>
    <s v="del08_t1"/>
    <n v="0.86899999999999999"/>
    <x v="124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2"/>
    <b v="1"/>
  </r>
  <r>
    <x v="9"/>
    <x v="8"/>
    <s v="Delma"/>
    <s v="t2"/>
    <s v="del08_t2"/>
    <n v="0.92300000000000004"/>
    <x v="12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2"/>
    <b v="1"/>
  </r>
  <r>
    <x v="10"/>
    <x v="10"/>
    <s v="Delma"/>
    <s v="t2"/>
    <s v="del09_t2"/>
    <n v="0.68300000000000005"/>
    <x v="126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x v="1"/>
    <b v="1"/>
  </r>
  <r>
    <x v="10"/>
    <x v="10"/>
    <s v="Delma"/>
    <s v="t1"/>
    <s v="del09_t1"/>
    <n v="0.46500000000000002"/>
    <x v="8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x v="1"/>
    <b v="1"/>
  </r>
  <r>
    <x v="10"/>
    <x v="11"/>
    <s v="Delma"/>
    <s v="t2"/>
    <s v="del09_t2"/>
    <n v="0.59699999999999998"/>
    <x v="127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1"/>
    <b v="1"/>
  </r>
  <r>
    <x v="10"/>
    <x v="11"/>
    <s v="Delma"/>
    <s v="t1"/>
    <s v="del09_t1"/>
    <n v="0.56100000000000005"/>
    <x v="92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1"/>
    <b v="1"/>
  </r>
  <r>
    <x v="10"/>
    <x v="0"/>
    <s v="Delma"/>
    <s v="t2"/>
    <s v="del09_t2"/>
    <n v="0.62"/>
    <x v="55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1"/>
    <b v="1"/>
  </r>
  <r>
    <x v="10"/>
    <x v="0"/>
    <s v="Delma"/>
    <s v="t1"/>
    <s v="del09_t1"/>
    <n v="0.82099999999999995"/>
    <x v="9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1"/>
    <b v="1"/>
  </r>
  <r>
    <x v="10"/>
    <x v="1"/>
    <s v="Delma"/>
    <s v="t2"/>
    <s v="del09_t2"/>
    <n v="0.76500000000000001"/>
    <x v="128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1"/>
    <b v="1"/>
  </r>
  <r>
    <x v="10"/>
    <x v="1"/>
    <s v="Delma"/>
    <s v="t1"/>
    <s v="del09_t1"/>
    <n v="0.82499999999999996"/>
    <x v="4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1"/>
    <b v="1"/>
  </r>
  <r>
    <x v="10"/>
    <x v="2"/>
    <s v="Delma"/>
    <s v="t1"/>
    <s v="del09_t1"/>
    <n v="0.64100000000000001"/>
    <x v="90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1"/>
    <b v="1"/>
  </r>
  <r>
    <x v="10"/>
    <x v="2"/>
    <s v="Delma"/>
    <s v="t2"/>
    <s v="del09_t2"/>
    <n v="0.318"/>
    <x v="129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1"/>
    <b v="1"/>
  </r>
  <r>
    <x v="10"/>
    <x v="3"/>
    <s v="Delma"/>
    <s v="t2"/>
    <s v="del09_t2"/>
    <n v="0.69099999999999995"/>
    <x v="37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1"/>
    <b v="1"/>
  </r>
  <r>
    <x v="10"/>
    <x v="3"/>
    <s v="Delma"/>
    <s v="t1"/>
    <s v="del09_t1"/>
    <n v="0.58299999999999996"/>
    <x v="91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1"/>
    <b v="1"/>
  </r>
  <r>
    <x v="10"/>
    <x v="4"/>
    <s v="Delma"/>
    <s v="t1"/>
    <s v="del09_t1"/>
    <n v="0.52900000000000003"/>
    <x v="130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1"/>
    <b v="1"/>
  </r>
  <r>
    <x v="10"/>
    <x v="4"/>
    <s v="Delma"/>
    <s v="t2"/>
    <s v="del09_t2"/>
    <n v="0.624"/>
    <x v="13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1"/>
    <b v="1"/>
  </r>
  <r>
    <x v="10"/>
    <x v="5"/>
    <s v="Delma"/>
    <s v="t2"/>
    <s v="del09_t2"/>
    <n v="0.65500000000000003"/>
    <x v="92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1"/>
    <b v="1"/>
  </r>
  <r>
    <x v="10"/>
    <x v="5"/>
    <s v="Delma"/>
    <s v="t1"/>
    <s v="del09_t1"/>
    <n v="0.63600000000000001"/>
    <x v="90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1"/>
    <b v="1"/>
  </r>
  <r>
    <x v="10"/>
    <x v="6"/>
    <s v="Delma"/>
    <s v="t2"/>
    <s v="del09_t2"/>
    <n v="0.42499999999999999"/>
    <x v="132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1"/>
    <b v="1"/>
  </r>
  <r>
    <x v="10"/>
    <x v="6"/>
    <s v="Delma"/>
    <s v="t1"/>
    <s v="del09_t1"/>
    <n v="0.373"/>
    <x v="133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1"/>
    <b v="1"/>
  </r>
  <r>
    <x v="10"/>
    <x v="7"/>
    <s v="Delma"/>
    <s v="t1"/>
    <s v="del09_t1"/>
    <n v="0.51400000000000001"/>
    <x v="134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1"/>
    <b v="1"/>
  </r>
  <r>
    <x v="10"/>
    <x v="7"/>
    <s v="Delma"/>
    <s v="t2"/>
    <s v="del09_t2"/>
    <n v="0.46899999999999997"/>
    <x v="135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1"/>
    <b v="1"/>
  </r>
  <r>
    <x v="10"/>
    <x v="8"/>
    <s v="Delma"/>
    <s v="t1"/>
    <s v="del09_t1"/>
    <n v="1.2569999999999999"/>
    <x v="38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1"/>
    <b v="1"/>
  </r>
  <r>
    <x v="10"/>
    <x v="8"/>
    <s v="Delma"/>
    <s v="t2"/>
    <s v="del09_t2"/>
    <n v="0.93"/>
    <x v="6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1"/>
    <b v="1"/>
  </r>
  <r>
    <x v="11"/>
    <x v="11"/>
    <s v="Delma"/>
    <s v="t1"/>
    <s v="del12_t1"/>
    <n v="0.93200000000000005"/>
    <x v="136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7"/>
    <b v="1"/>
  </r>
  <r>
    <x v="11"/>
    <x v="0"/>
    <s v="Delma"/>
    <s v="t1"/>
    <s v="del12_t1"/>
    <n v="0.75700000000000001"/>
    <x v="7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7"/>
    <b v="1"/>
  </r>
  <r>
    <x v="11"/>
    <x v="1"/>
    <s v="Delma"/>
    <s v="t2"/>
    <s v="del12_t2"/>
    <n v="1.464"/>
    <x v="137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7"/>
    <b v="1"/>
  </r>
  <r>
    <x v="11"/>
    <x v="1"/>
    <s v="Delma"/>
    <s v="t1"/>
    <s v="del12_t1"/>
    <n v="0.54100000000000004"/>
    <x v="47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7"/>
    <b v="1"/>
  </r>
  <r>
    <x v="11"/>
    <x v="2"/>
    <s v="Delma"/>
    <s v="t2"/>
    <s v="del12_t2"/>
    <n v="1.238"/>
    <x v="138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7"/>
    <b v="1"/>
  </r>
  <r>
    <x v="11"/>
    <x v="2"/>
    <s v="Delma"/>
    <s v="t1"/>
    <s v="del12_t1"/>
    <n v="0.66"/>
    <x v="96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7"/>
    <b v="1"/>
  </r>
  <r>
    <x v="11"/>
    <x v="3"/>
    <s v="Delma"/>
    <s v="t1"/>
    <s v="del12_t1"/>
    <n v="0.88800000000000001"/>
    <x v="33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7"/>
    <b v="1"/>
  </r>
  <r>
    <x v="11"/>
    <x v="3"/>
    <s v="Delma"/>
    <s v="t2"/>
    <s v="del12_t2"/>
    <n v="1.077"/>
    <x v="139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7"/>
    <b v="1"/>
  </r>
  <r>
    <x v="11"/>
    <x v="4"/>
    <s v="Delma"/>
    <s v="t2"/>
    <s v="del12_t2"/>
    <n v="0.85499999999999998"/>
    <x v="140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7"/>
    <b v="1"/>
  </r>
  <r>
    <x v="11"/>
    <x v="4"/>
    <s v="Delma"/>
    <s v="t1"/>
    <s v="del12_t1"/>
    <n v="1.0389999999999999"/>
    <x v="16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7"/>
    <b v="1"/>
  </r>
  <r>
    <x v="11"/>
    <x v="5"/>
    <s v="Delma"/>
    <s v="t1"/>
    <s v="del12_t1"/>
    <n v="1.3080000000000001"/>
    <x v="14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7"/>
    <b v="1"/>
  </r>
  <r>
    <x v="11"/>
    <x v="5"/>
    <s v="Delma"/>
    <s v="t2"/>
    <s v="del12_t2"/>
    <n v="0.625"/>
    <x v="45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7"/>
    <b v="1"/>
  </r>
  <r>
    <x v="11"/>
    <x v="6"/>
    <s v="Delma"/>
    <s v="t2"/>
    <s v="del12_t2"/>
    <n v="0.66700000000000004"/>
    <x v="45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7"/>
    <b v="1"/>
  </r>
  <r>
    <x v="11"/>
    <x v="6"/>
    <s v="Delma"/>
    <s v="t1"/>
    <s v="del12_t1"/>
    <n v="1.3680000000000001"/>
    <x v="142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7"/>
    <b v="1"/>
  </r>
  <r>
    <x v="11"/>
    <x v="7"/>
    <s v="Delma"/>
    <s v="t2"/>
    <s v="del12_t2"/>
    <n v="0.72099999999999997"/>
    <x v="14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7"/>
    <b v="1"/>
  </r>
  <r>
    <x v="11"/>
    <x v="7"/>
    <s v="Delma"/>
    <s v="t1"/>
    <s v="del12_t1"/>
    <n v="1.069"/>
    <x v="144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7"/>
    <b v="1"/>
  </r>
  <r>
    <x v="11"/>
    <x v="8"/>
    <s v="Delma"/>
    <s v="t2"/>
    <s v="del12_t2"/>
    <n v="0.58399999999999996"/>
    <x v="8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7"/>
    <b v="1"/>
  </r>
  <r>
    <x v="11"/>
    <x v="8"/>
    <s v="Delma"/>
    <s v="t1"/>
    <s v="del12_t1"/>
    <n v="1.1279999999999999"/>
    <x v="14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7"/>
    <b v="1"/>
  </r>
  <r>
    <x v="12"/>
    <x v="9"/>
    <s v="Delma"/>
    <s v="t1"/>
    <s v="del20_t1"/>
    <n v="0.59399999999999997"/>
    <x v="41"/>
    <n v="34.003114754098398"/>
    <n v="20.1475409836066"/>
    <n v="0.715559584608915"/>
    <n v="8.1766802485903706E-2"/>
    <n v="0.38134210792763101"/>
    <n v="-3.7236202000247E-2"/>
    <n v="8.4688524590163905E-2"/>
    <n v="5.0604855163513901E-2"/>
    <n v="5.1524590163934403E-2"/>
    <n v="2.7714981843386301E-2"/>
    <n v="34"/>
    <n v="304"/>
    <s v="gulf"/>
    <x v="8"/>
    <b v="1"/>
  </r>
  <r>
    <x v="12"/>
    <x v="10"/>
    <s v="Delma"/>
    <s v="t1"/>
    <s v="del20_t1"/>
    <n v="1.3360000000000001"/>
    <x v="146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x v="8"/>
    <b v="1"/>
  </r>
  <r>
    <x v="12"/>
    <x v="10"/>
    <s v="Delma"/>
    <s v="t2"/>
    <s v="del20_t2"/>
    <n v="0.34699999999999998"/>
    <x v="126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x v="8"/>
    <b v="1"/>
  </r>
  <r>
    <x v="12"/>
    <x v="11"/>
    <s v="Delma"/>
    <s v="t1"/>
    <s v="del20_t1"/>
    <n v="0.63500000000000001"/>
    <x v="89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8"/>
    <b v="1"/>
  </r>
  <r>
    <x v="12"/>
    <x v="11"/>
    <s v="Delma"/>
    <s v="t2"/>
    <s v="del20_t2"/>
    <n v="0.53400000000000003"/>
    <x v="81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x v="8"/>
    <b v="1"/>
  </r>
  <r>
    <x v="12"/>
    <x v="0"/>
    <s v="Delma"/>
    <s v="t1"/>
    <s v="del20_t1"/>
    <n v="0.64"/>
    <x v="9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8"/>
    <b v="1"/>
  </r>
  <r>
    <x v="12"/>
    <x v="0"/>
    <s v="Delma"/>
    <s v="t2"/>
    <s v="del20_t2"/>
    <n v="0.57099999999999995"/>
    <x v="92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x v="8"/>
    <b v="1"/>
  </r>
  <r>
    <x v="12"/>
    <x v="1"/>
    <s v="Delma"/>
    <s v="t1"/>
    <s v="del20_t1"/>
    <n v="0.70199999999999996"/>
    <x v="34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8"/>
    <b v="1"/>
  </r>
  <r>
    <x v="12"/>
    <x v="1"/>
    <s v="Delma"/>
    <s v="t2"/>
    <s v="del20_t2"/>
    <n v="0.58199999999999996"/>
    <x v="37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x v="8"/>
    <b v="1"/>
  </r>
  <r>
    <x v="12"/>
    <x v="2"/>
    <s v="Delma"/>
    <s v="t1"/>
    <s v="del20_t1"/>
    <n v="1.1299999999999999"/>
    <x v="147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8"/>
    <b v="1"/>
  </r>
  <r>
    <x v="12"/>
    <x v="2"/>
    <s v="Delma"/>
    <s v="t2"/>
    <s v="del20_t2"/>
    <n v="0.61799999999999999"/>
    <x v="36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x v="8"/>
    <b v="1"/>
  </r>
  <r>
    <x v="12"/>
    <x v="3"/>
    <s v="Delma"/>
    <s v="t1"/>
    <s v="del20_t1"/>
    <n v="0.80600000000000005"/>
    <x v="62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8"/>
    <b v="1"/>
  </r>
  <r>
    <x v="12"/>
    <x v="3"/>
    <s v="Delma"/>
    <s v="t2"/>
    <s v="del20_t2"/>
    <n v="0.54300000000000004"/>
    <x v="69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x v="8"/>
    <b v="1"/>
  </r>
  <r>
    <x v="12"/>
    <x v="4"/>
    <s v="Delma"/>
    <s v="t2"/>
    <s v="del20_t2"/>
    <n v="0.64"/>
    <x v="52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8"/>
    <b v="1"/>
  </r>
  <r>
    <x v="12"/>
    <x v="4"/>
    <s v="Delma"/>
    <s v="t1"/>
    <s v="del20_t1"/>
    <n v="0.77200000000000002"/>
    <x v="5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x v="8"/>
    <b v="1"/>
  </r>
  <r>
    <x v="12"/>
    <x v="5"/>
    <s v="Delma"/>
    <s v="t1"/>
    <s v="del20_t1"/>
    <n v="0.33800000000000002"/>
    <x v="148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8"/>
    <b v="1"/>
  </r>
  <r>
    <x v="12"/>
    <x v="5"/>
    <s v="Delma"/>
    <s v="t2"/>
    <s v="del20_t2"/>
    <n v="1.4970000000000001"/>
    <x v="149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x v="8"/>
    <b v="1"/>
  </r>
  <r>
    <x v="12"/>
    <x v="6"/>
    <s v="Delma"/>
    <s v="t2"/>
    <s v="del20_t2"/>
    <n v="0.878"/>
    <x v="26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8"/>
    <b v="1"/>
  </r>
  <r>
    <x v="12"/>
    <x v="6"/>
    <s v="Delma"/>
    <s v="t1"/>
    <s v="del20_t1"/>
    <n v="0.86099999999999999"/>
    <x v="136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x v="8"/>
    <b v="1"/>
  </r>
  <r>
    <x v="12"/>
    <x v="7"/>
    <s v="Delma"/>
    <s v="t2"/>
    <s v="del20_t2"/>
    <n v="0.58499999999999996"/>
    <x v="150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8"/>
    <b v="1"/>
  </r>
  <r>
    <x v="12"/>
    <x v="7"/>
    <s v="Delma"/>
    <s v="t1"/>
    <s v="del20_t1"/>
    <n v="0.53400000000000003"/>
    <x v="151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x v="8"/>
    <b v="1"/>
  </r>
  <r>
    <x v="12"/>
    <x v="8"/>
    <s v="Delma"/>
    <s v="t1"/>
    <s v="del20_t1"/>
    <n v="0.60899999999999999"/>
    <x v="73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8"/>
    <b v="1"/>
  </r>
  <r>
    <x v="12"/>
    <x v="8"/>
    <s v="Delma"/>
    <s v="t2"/>
    <s v="del20_t2"/>
    <n v="0.47499999999999998"/>
    <x v="110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x v="8"/>
    <b v="1"/>
  </r>
  <r>
    <x v="13"/>
    <x v="12"/>
    <s v="Dibba"/>
    <s v="t1"/>
    <s v="dib01_t1"/>
    <n v="0.95599999999999996"/>
    <x v="27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x v="9"/>
    <b v="1"/>
  </r>
  <r>
    <x v="13"/>
    <x v="12"/>
    <s v="Dibba"/>
    <s v="t2"/>
    <s v="dib01_t2"/>
    <n v="0.52600000000000002"/>
    <x v="2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x v="9"/>
    <b v="1"/>
  </r>
  <r>
    <x v="13"/>
    <x v="13"/>
    <s v="Dibba"/>
    <s v="t2"/>
    <s v="dib01_t2"/>
    <n v="0.57699999999999996"/>
    <x v="8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x v="9"/>
    <b v="1"/>
  </r>
  <r>
    <x v="13"/>
    <x v="13"/>
    <s v="Dibba"/>
    <s v="t1"/>
    <s v="dib01_t1"/>
    <n v="0.70699999999999996"/>
    <x v="73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x v="9"/>
    <b v="1"/>
  </r>
  <r>
    <x v="13"/>
    <x v="9"/>
    <s v="Dibba"/>
    <s v="t1"/>
    <s v="dib01_t1"/>
    <n v="0.42"/>
    <x v="152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x v="9"/>
    <b v="1"/>
  </r>
  <r>
    <x v="13"/>
    <x v="9"/>
    <s v="Dibba"/>
    <s v="t2"/>
    <s v="dib01_t2"/>
    <n v="0.55300000000000005"/>
    <x v="127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x v="9"/>
    <b v="1"/>
  </r>
  <r>
    <x v="13"/>
    <x v="10"/>
    <s v="Dibba"/>
    <s v="t2"/>
    <s v="dib01_t2"/>
    <n v="0.753"/>
    <x v="153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x v="9"/>
    <b v="1"/>
  </r>
  <r>
    <x v="13"/>
    <x v="10"/>
    <s v="Dibba"/>
    <s v="t1"/>
    <s v="dib01_t1"/>
    <n v="0.84"/>
    <x v="13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x v="9"/>
    <b v="1"/>
  </r>
  <r>
    <x v="13"/>
    <x v="11"/>
    <s v="Dibba"/>
    <s v="t2"/>
    <s v="dib01_t2"/>
    <n v="0.60899999999999999"/>
    <x v="35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9"/>
    <b v="1"/>
  </r>
  <r>
    <x v="13"/>
    <x v="11"/>
    <s v="Dibba"/>
    <s v="t1"/>
    <s v="dib01_t1"/>
    <n v="0.63800000000000001"/>
    <x v="131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9"/>
    <b v="1"/>
  </r>
  <r>
    <x v="13"/>
    <x v="0"/>
    <s v="Dibba"/>
    <s v="t1"/>
    <s v="dib01_t1"/>
    <n v="0.67600000000000005"/>
    <x v="110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9"/>
    <b v="1"/>
  </r>
  <r>
    <x v="13"/>
    <x v="0"/>
    <s v="Dibba"/>
    <s v="t2"/>
    <s v="dib01_t2"/>
    <n v="0.438"/>
    <x v="104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9"/>
    <b v="1"/>
  </r>
  <r>
    <x v="13"/>
    <x v="1"/>
    <s v="Dibba"/>
    <s v="t2"/>
    <s v="dib01_t2"/>
    <n v="0.623"/>
    <x v="48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9"/>
    <b v="1"/>
  </r>
  <r>
    <x v="13"/>
    <x v="1"/>
    <s v="Dibba"/>
    <s v="t1"/>
    <s v="dib01_t1"/>
    <n v="0.82799999999999996"/>
    <x v="30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9"/>
    <b v="1"/>
  </r>
  <r>
    <x v="13"/>
    <x v="2"/>
    <s v="Dibba"/>
    <s v="t2"/>
    <s v="dib01_t2"/>
    <n v="0.39900000000000002"/>
    <x v="154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9"/>
    <b v="1"/>
  </r>
  <r>
    <x v="13"/>
    <x v="2"/>
    <s v="Dibba"/>
    <s v="t1"/>
    <s v="dib01_t1"/>
    <n v="0.61299999999999999"/>
    <x v="155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9"/>
    <b v="1"/>
  </r>
  <r>
    <x v="13"/>
    <x v="3"/>
    <s v="Dibba"/>
    <s v="t2"/>
    <s v="dib01_t2"/>
    <n v="0.55500000000000005"/>
    <x v="55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9"/>
    <b v="1"/>
  </r>
  <r>
    <x v="13"/>
    <x v="3"/>
    <s v="Dibba"/>
    <s v="t1"/>
    <s v="dib01_t1"/>
    <n v="0.71499999999999997"/>
    <x v="30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9"/>
    <b v="1"/>
  </r>
  <r>
    <x v="13"/>
    <x v="4"/>
    <s v="Dibba"/>
    <s v="t2"/>
    <s v="dib01_t2"/>
    <n v="0.54"/>
    <x v="156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9"/>
    <b v="1"/>
  </r>
  <r>
    <x v="13"/>
    <x v="4"/>
    <s v="Dibba"/>
    <s v="t1"/>
    <s v="dib01_t1"/>
    <n v="0.71299999999999997"/>
    <x v="46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9"/>
    <b v="1"/>
  </r>
  <r>
    <x v="13"/>
    <x v="5"/>
    <s v="Dibba"/>
    <s v="t1"/>
    <s v="dib01_t1"/>
    <n v="0.58199999999999996"/>
    <x v="150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9"/>
    <b v="1"/>
  </r>
  <r>
    <x v="13"/>
    <x v="5"/>
    <s v="Dibba"/>
    <s v="t2"/>
    <s v="dib01_t2"/>
    <n v="0.65900000000000003"/>
    <x v="157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9"/>
    <b v="1"/>
  </r>
  <r>
    <x v="13"/>
    <x v="6"/>
    <s v="Dibba"/>
    <s v="t1"/>
    <s v="dib01_t1"/>
    <n v="0.65500000000000003"/>
    <x v="12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9"/>
    <b v="1"/>
  </r>
  <r>
    <x v="13"/>
    <x v="6"/>
    <s v="Dibba"/>
    <s v="t2"/>
    <s v="dib01_t2"/>
    <n v="0.68500000000000005"/>
    <x v="158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9"/>
    <b v="1"/>
  </r>
  <r>
    <x v="13"/>
    <x v="7"/>
    <s v="Dibba"/>
    <s v="t1"/>
    <s v="dib01_t1"/>
    <n v="1.0149999999999999"/>
    <x v="159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9"/>
    <b v="1"/>
  </r>
  <r>
    <x v="13"/>
    <x v="7"/>
    <s v="Dibba"/>
    <s v="t2"/>
    <s v="dib01_t2"/>
    <n v="1.369"/>
    <x v="142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9"/>
    <b v="1"/>
  </r>
  <r>
    <x v="13"/>
    <x v="8"/>
    <s v="Dibba"/>
    <s v="t1"/>
    <s v="dib01_t1"/>
    <n v="0.997"/>
    <x v="14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9"/>
    <b v="1"/>
  </r>
  <r>
    <x v="13"/>
    <x v="8"/>
    <s v="Dibba"/>
    <s v="t2"/>
    <s v="dib01_t2"/>
    <n v="0.438"/>
    <x v="160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9"/>
    <b v="1"/>
  </r>
  <r>
    <x v="14"/>
    <x v="10"/>
    <s v="Dibba"/>
    <s v="t2"/>
    <s v="dib02_t2"/>
    <n v="0.66200000000000003"/>
    <x v="13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x v="0"/>
    <b v="1"/>
  </r>
  <r>
    <x v="14"/>
    <x v="10"/>
    <s v="Dibba"/>
    <s v="t1"/>
    <s v="dib02_t1"/>
    <n v="0.42799999999999999"/>
    <x v="161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x v="0"/>
    <b v="1"/>
  </r>
  <r>
    <x v="14"/>
    <x v="11"/>
    <s v="Dibba"/>
    <s v="t2"/>
    <s v="dib02_t2"/>
    <n v="0.61499999999999999"/>
    <x v="65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0"/>
    <b v="1"/>
  </r>
  <r>
    <x v="14"/>
    <x v="11"/>
    <s v="Dibba"/>
    <s v="t1"/>
    <s v="dib02_t1"/>
    <n v="0.51700000000000002"/>
    <x v="35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0"/>
    <b v="1"/>
  </r>
  <r>
    <x v="14"/>
    <x v="0"/>
    <s v="Dibba"/>
    <s v="t2"/>
    <s v="dib02_t2"/>
    <n v="0.873"/>
    <x v="162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0"/>
    <b v="1"/>
  </r>
  <r>
    <x v="14"/>
    <x v="0"/>
    <s v="Dibba"/>
    <s v="t1"/>
    <s v="dib02_t1"/>
    <n v="0.65200000000000002"/>
    <x v="5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0"/>
    <b v="1"/>
  </r>
  <r>
    <x v="14"/>
    <x v="1"/>
    <s v="Dibba"/>
    <s v="t1"/>
    <s v="dib02_t1"/>
    <n v="0.83699999999999997"/>
    <x v="163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0"/>
    <b v="1"/>
  </r>
  <r>
    <x v="14"/>
    <x v="1"/>
    <s v="Dibba"/>
    <s v="t2"/>
    <s v="dib02_t2"/>
    <n v="1.085"/>
    <x v="164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0"/>
    <b v="1"/>
  </r>
  <r>
    <x v="14"/>
    <x v="2"/>
    <s v="Dibba"/>
    <s v="t1"/>
    <s v="dib02_t1"/>
    <n v="0.57899999999999996"/>
    <x v="54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0"/>
    <b v="1"/>
  </r>
  <r>
    <x v="14"/>
    <x v="2"/>
    <s v="Dibba"/>
    <s v="t2"/>
    <s v="dib02_t2"/>
    <n v="1.069"/>
    <x v="16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0"/>
    <b v="1"/>
  </r>
  <r>
    <x v="14"/>
    <x v="3"/>
    <s v="Dibba"/>
    <s v="t2"/>
    <s v="dib02_t2"/>
    <n v="0.56399999999999995"/>
    <x v="165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0"/>
    <b v="1"/>
  </r>
  <r>
    <x v="14"/>
    <x v="3"/>
    <s v="Dibba"/>
    <s v="t1"/>
    <s v="dib02_t1"/>
    <n v="0.80500000000000005"/>
    <x v="162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0"/>
    <b v="1"/>
  </r>
  <r>
    <x v="14"/>
    <x v="4"/>
    <s v="Dibba"/>
    <s v="t1"/>
    <s v="dib02_t1"/>
    <n v="0.70799999999999996"/>
    <x v="162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0"/>
    <b v="1"/>
  </r>
  <r>
    <x v="14"/>
    <x v="4"/>
    <s v="Dibba"/>
    <s v="t2"/>
    <s v="dib02_t2"/>
    <n v="1.014"/>
    <x v="33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0"/>
    <b v="1"/>
  </r>
  <r>
    <x v="14"/>
    <x v="5"/>
    <s v="Dibba"/>
    <s v="t2"/>
    <s v="dib02_t2"/>
    <n v="0.70099999999999996"/>
    <x v="166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0"/>
    <b v="1"/>
  </r>
  <r>
    <x v="14"/>
    <x v="5"/>
    <s v="Dibba"/>
    <s v="t1"/>
    <s v="dib02_t1"/>
    <n v="1.135"/>
    <x v="167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0"/>
    <b v="1"/>
  </r>
  <r>
    <x v="14"/>
    <x v="6"/>
    <s v="Dibba"/>
    <s v="t1"/>
    <s v="dib02_t1"/>
    <n v="0.81599999999999995"/>
    <x v="73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0"/>
    <b v="1"/>
  </r>
  <r>
    <x v="14"/>
    <x v="6"/>
    <s v="Dibba"/>
    <s v="t2"/>
    <s v="dib02_t2"/>
    <n v="1.097"/>
    <x v="73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0"/>
    <b v="1"/>
  </r>
  <r>
    <x v="14"/>
    <x v="7"/>
    <s v="Dibba"/>
    <s v="t1"/>
    <s v="dib02_t1"/>
    <n v="0.69699999999999995"/>
    <x v="168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0"/>
    <b v="1"/>
  </r>
  <r>
    <x v="14"/>
    <x v="7"/>
    <s v="Dibba"/>
    <s v="t2"/>
    <s v="dib02_t2"/>
    <n v="0.84799999999999998"/>
    <x v="9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0"/>
    <b v="1"/>
  </r>
  <r>
    <x v="14"/>
    <x v="8"/>
    <s v="Dibba"/>
    <s v="t1"/>
    <s v="dib02_t1"/>
    <n v="0.46500000000000002"/>
    <x v="169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0"/>
    <b v="1"/>
  </r>
  <r>
    <x v="14"/>
    <x v="8"/>
    <s v="Dibba"/>
    <s v="t2"/>
    <s v="dib02_t2"/>
    <n v="0.70099999999999996"/>
    <x v="170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0"/>
    <b v="1"/>
  </r>
  <r>
    <x v="15"/>
    <x v="0"/>
    <s v="Dibba"/>
    <s v="t2"/>
    <s v="dib03_t2"/>
    <n v="0.82199999999999995"/>
    <x v="164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2"/>
    <b v="1"/>
  </r>
  <r>
    <x v="15"/>
    <x v="0"/>
    <s v="Dibba"/>
    <s v="t1"/>
    <s v="dib03_t1"/>
    <n v="1.0549999999999999"/>
    <x v="0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2"/>
    <b v="1"/>
  </r>
  <r>
    <x v="15"/>
    <x v="1"/>
    <s v="Dibba"/>
    <s v="t2"/>
    <s v="dib03_t2"/>
    <n v="0.73299999999999998"/>
    <x v="126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2"/>
    <b v="1"/>
  </r>
  <r>
    <x v="15"/>
    <x v="1"/>
    <s v="Dibba"/>
    <s v="t1"/>
    <s v="dib03_t1"/>
    <n v="0.60499999999999998"/>
    <x v="171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2"/>
    <b v="1"/>
  </r>
  <r>
    <x v="15"/>
    <x v="2"/>
    <s v="Dibba"/>
    <s v="t1"/>
    <s v="dib03_t1"/>
    <n v="0.82199999999999995"/>
    <x v="172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2"/>
    <b v="1"/>
  </r>
  <r>
    <x v="15"/>
    <x v="2"/>
    <s v="Dibba"/>
    <s v="t2"/>
    <s v="dib03_t2"/>
    <n v="1.3340000000000001"/>
    <x v="57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2"/>
    <b v="1"/>
  </r>
  <r>
    <x v="15"/>
    <x v="3"/>
    <s v="Dibba"/>
    <s v="t2"/>
    <s v="dib03_t2"/>
    <n v="0.77800000000000002"/>
    <x v="173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2"/>
    <b v="1"/>
  </r>
  <r>
    <x v="15"/>
    <x v="3"/>
    <s v="Dibba"/>
    <s v="t1"/>
    <s v="dib03_t1"/>
    <n v="0.91600000000000004"/>
    <x v="13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2"/>
    <b v="1"/>
  </r>
  <r>
    <x v="15"/>
    <x v="4"/>
    <s v="Dibba"/>
    <s v="t1"/>
    <s v="dib03_t1"/>
    <n v="0.67100000000000004"/>
    <x v="17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2"/>
    <b v="1"/>
  </r>
  <r>
    <x v="15"/>
    <x v="4"/>
    <s v="Dibba"/>
    <s v="t2"/>
    <s v="dib03_t2"/>
    <n v="0.46400000000000002"/>
    <x v="46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2"/>
    <b v="1"/>
  </r>
  <r>
    <x v="15"/>
    <x v="5"/>
    <s v="Dibba"/>
    <s v="t2"/>
    <s v="dib03_t2"/>
    <n v="0.91400000000000003"/>
    <x v="144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2"/>
    <b v="1"/>
  </r>
  <r>
    <x v="15"/>
    <x v="5"/>
    <s v="Dibba"/>
    <s v="t1"/>
    <s v="dib03_t1"/>
    <n v="0.91800000000000004"/>
    <x v="175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2"/>
    <b v="1"/>
  </r>
  <r>
    <x v="15"/>
    <x v="6"/>
    <s v="Dibba"/>
    <s v="t1"/>
    <s v="dib03_t1"/>
    <n v="1.08"/>
    <x v="76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2"/>
    <b v="1"/>
  </r>
  <r>
    <x v="15"/>
    <x v="6"/>
    <s v="Dibba"/>
    <s v="t2"/>
    <s v="dib03_t2"/>
    <n v="0.81899999999999995"/>
    <x v="121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2"/>
    <b v="1"/>
  </r>
  <r>
    <x v="15"/>
    <x v="7"/>
    <s v="Dibba"/>
    <s v="t2"/>
    <s v="dib03_t2"/>
    <n v="1.101"/>
    <x v="176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2"/>
    <b v="1"/>
  </r>
  <r>
    <x v="15"/>
    <x v="7"/>
    <s v="Dibba"/>
    <s v="t1"/>
    <s v="dib03_t1"/>
    <n v="0.97599999999999998"/>
    <x v="3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2"/>
    <b v="1"/>
  </r>
  <r>
    <x v="15"/>
    <x v="8"/>
    <s v="Dibba"/>
    <s v="t2"/>
    <s v="dib03_t2"/>
    <n v="1.012"/>
    <x v="177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2"/>
    <b v="1"/>
  </r>
  <r>
    <x v="15"/>
    <x v="8"/>
    <s v="Dibba"/>
    <s v="t1"/>
    <s v="dib03_t1"/>
    <n v="0.77900000000000003"/>
    <x v="4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2"/>
    <b v="1"/>
  </r>
  <r>
    <x v="16"/>
    <x v="12"/>
    <s v="Dibba"/>
    <s v="t2"/>
    <s v="dib04_t2"/>
    <n v="1.335"/>
    <x v="178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x v="10"/>
    <b v="1"/>
  </r>
  <r>
    <x v="16"/>
    <x v="12"/>
    <s v="Dibba"/>
    <s v="t1"/>
    <s v="dib04_t1"/>
    <n v="0.94"/>
    <x v="179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x v="10"/>
    <b v="1"/>
  </r>
  <r>
    <x v="16"/>
    <x v="13"/>
    <s v="Dibba"/>
    <s v="t2"/>
    <s v="dib04_t2"/>
    <n v="0.82799999999999996"/>
    <x v="143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x v="10"/>
    <b v="1"/>
  </r>
  <r>
    <x v="16"/>
    <x v="13"/>
    <s v="Dibba"/>
    <s v="t1"/>
    <s v="dib04_t1"/>
    <n v="0.90500000000000003"/>
    <x v="180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x v="10"/>
    <b v="1"/>
  </r>
  <r>
    <x v="16"/>
    <x v="9"/>
    <s v="Dibba"/>
    <s v="t1"/>
    <s v="dib04_t1"/>
    <n v="0.60899999999999999"/>
    <x v="181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x v="10"/>
    <b v="1"/>
  </r>
  <r>
    <x v="16"/>
    <x v="9"/>
    <s v="Dibba"/>
    <s v="t2"/>
    <s v="dib04_t2"/>
    <n v="1.0269999999999999"/>
    <x v="182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x v="10"/>
    <b v="1"/>
  </r>
  <r>
    <x v="16"/>
    <x v="10"/>
    <s v="Dibba"/>
    <s v="t2"/>
    <s v="dib04_t2"/>
    <n v="0.65200000000000002"/>
    <x v="183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x v="10"/>
    <b v="1"/>
  </r>
  <r>
    <x v="16"/>
    <x v="10"/>
    <s v="Dibba"/>
    <s v="t1"/>
    <s v="dib04_t1"/>
    <n v="0.82799999999999996"/>
    <x v="162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x v="10"/>
    <b v="1"/>
  </r>
  <r>
    <x v="16"/>
    <x v="11"/>
    <s v="Dibba"/>
    <s v="t1"/>
    <s v="dib04_t1"/>
    <n v="0.76200000000000001"/>
    <x v="51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10"/>
    <b v="1"/>
  </r>
  <r>
    <x v="16"/>
    <x v="11"/>
    <s v="Dibba"/>
    <s v="t2"/>
    <s v="dib04_t2"/>
    <n v="0.82499999999999996"/>
    <x v="184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10"/>
    <b v="1"/>
  </r>
  <r>
    <x v="16"/>
    <x v="0"/>
    <s v="Dibba"/>
    <s v="t2"/>
    <s v="dib04_t2"/>
    <n v="0.60199999999999998"/>
    <x v="153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10"/>
    <b v="1"/>
  </r>
  <r>
    <x v="16"/>
    <x v="0"/>
    <s v="Dibba"/>
    <s v="t1"/>
    <s v="dib04_t1"/>
    <n v="0.61399999999999999"/>
    <x v="9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10"/>
    <b v="1"/>
  </r>
  <r>
    <x v="16"/>
    <x v="1"/>
    <s v="Dibba"/>
    <s v="t2"/>
    <s v="dib04_t2"/>
    <n v="0.68899999999999995"/>
    <x v="116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10"/>
    <b v="1"/>
  </r>
  <r>
    <x v="16"/>
    <x v="1"/>
    <s v="Dibba"/>
    <s v="t1"/>
    <s v="dib04_t1"/>
    <n v="0.40500000000000003"/>
    <x v="41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10"/>
    <b v="1"/>
  </r>
  <r>
    <x v="16"/>
    <x v="2"/>
    <s v="Dibba"/>
    <s v="t2"/>
    <s v="dib04_t2"/>
    <n v="0.76300000000000001"/>
    <x v="5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10"/>
    <b v="1"/>
  </r>
  <r>
    <x v="16"/>
    <x v="2"/>
    <s v="Dibba"/>
    <s v="t1"/>
    <s v="dib04_t1"/>
    <n v="0.626"/>
    <x v="185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10"/>
    <b v="1"/>
  </r>
  <r>
    <x v="16"/>
    <x v="3"/>
    <s v="Dibba"/>
    <s v="t2"/>
    <s v="dib04_t2"/>
    <n v="0.73799999999999999"/>
    <x v="96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10"/>
    <b v="1"/>
  </r>
  <r>
    <x v="16"/>
    <x v="3"/>
    <s v="Dibba"/>
    <s v="t1"/>
    <s v="dib04_t1"/>
    <n v="0.77"/>
    <x v="186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10"/>
    <b v="1"/>
  </r>
  <r>
    <x v="16"/>
    <x v="4"/>
    <s v="Dibba"/>
    <s v="t1"/>
    <s v="dib04_t1"/>
    <n v="0.92100000000000004"/>
    <x v="187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10"/>
    <b v="1"/>
  </r>
  <r>
    <x v="16"/>
    <x v="4"/>
    <s v="Dibba"/>
    <s v="t2"/>
    <s v="dib04_t2"/>
    <n v="0.91300000000000003"/>
    <x v="188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10"/>
    <b v="1"/>
  </r>
  <r>
    <x v="16"/>
    <x v="5"/>
    <s v="Dibba"/>
    <s v="t1"/>
    <s v="dib04_t1"/>
    <n v="1.3540000000000001"/>
    <x v="189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10"/>
    <b v="1"/>
  </r>
  <r>
    <x v="16"/>
    <x v="5"/>
    <s v="Dibba"/>
    <s v="t2"/>
    <s v="dib04_t2"/>
    <n v="1.353"/>
    <x v="19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10"/>
    <b v="1"/>
  </r>
  <r>
    <x v="16"/>
    <x v="6"/>
    <s v="Dibba"/>
    <s v="t2"/>
    <s v="dib04_t2"/>
    <n v="0.76500000000000001"/>
    <x v="190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10"/>
    <b v="1"/>
  </r>
  <r>
    <x v="16"/>
    <x v="6"/>
    <s v="Dibba"/>
    <s v="t1"/>
    <s v="dib04_t1"/>
    <n v="0.67200000000000004"/>
    <x v="157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10"/>
    <b v="1"/>
  </r>
  <r>
    <x v="16"/>
    <x v="7"/>
    <s v="Dibba"/>
    <s v="t1"/>
    <s v="dib04_t1"/>
    <n v="0.76500000000000001"/>
    <x v="82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10"/>
    <b v="1"/>
  </r>
  <r>
    <x v="16"/>
    <x v="7"/>
    <s v="Dibba"/>
    <s v="t2"/>
    <s v="dib04_t2"/>
    <n v="0.63500000000000001"/>
    <x v="92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10"/>
    <b v="1"/>
  </r>
  <r>
    <x v="16"/>
    <x v="8"/>
    <s v="Dibba"/>
    <s v="t1"/>
    <s v="dib04_t1"/>
    <n v="0.91100000000000003"/>
    <x v="188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10"/>
    <b v="1"/>
  </r>
  <r>
    <x v="16"/>
    <x v="8"/>
    <s v="Dibba"/>
    <s v="t2"/>
    <s v="dib04_t2"/>
    <n v="1.0669999999999999"/>
    <x v="19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10"/>
    <b v="1"/>
  </r>
  <r>
    <x v="17"/>
    <x v="11"/>
    <s v="Dibba"/>
    <s v="t2"/>
    <s v="dib06_t2"/>
    <n v="0.437"/>
    <x v="160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3"/>
    <b v="1"/>
  </r>
  <r>
    <x v="17"/>
    <x v="11"/>
    <s v="Dibba"/>
    <s v="t1"/>
    <s v="dib06_t1"/>
    <n v="0.84699999999999998"/>
    <x v="43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3"/>
    <b v="1"/>
  </r>
  <r>
    <x v="17"/>
    <x v="0"/>
    <s v="Dibba"/>
    <s v="t1"/>
    <s v="dib06_t1"/>
    <n v="0.85299999999999998"/>
    <x v="192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3"/>
    <b v="1"/>
  </r>
  <r>
    <x v="17"/>
    <x v="0"/>
    <s v="Dibba"/>
    <s v="t2"/>
    <s v="dib06_t2"/>
    <n v="0.42399999999999999"/>
    <x v="130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3"/>
    <b v="1"/>
  </r>
  <r>
    <x v="17"/>
    <x v="1"/>
    <s v="Dibba"/>
    <s v="t2"/>
    <s v="dib06_t2"/>
    <n v="0.95099999999999996"/>
    <x v="27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3"/>
    <b v="1"/>
  </r>
  <r>
    <x v="17"/>
    <x v="1"/>
    <s v="Dibba"/>
    <s v="t1"/>
    <s v="dib06_t1"/>
    <n v="0.97299999999999998"/>
    <x v="27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3"/>
    <b v="1"/>
  </r>
  <r>
    <x v="17"/>
    <x v="2"/>
    <s v="Dibba"/>
    <s v="t1"/>
    <s v="dib06_t1"/>
    <n v="0.439"/>
    <x v="91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3"/>
    <b v="1"/>
  </r>
  <r>
    <x v="17"/>
    <x v="2"/>
    <s v="Dibba"/>
    <s v="t2"/>
    <s v="dib06_t2"/>
    <n v="1.167"/>
    <x v="176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3"/>
    <b v="1"/>
  </r>
  <r>
    <x v="17"/>
    <x v="3"/>
    <s v="Dibba"/>
    <s v="t1"/>
    <s v="dib06_t1"/>
    <n v="0.626"/>
    <x v="50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3"/>
    <b v="1"/>
  </r>
  <r>
    <x v="17"/>
    <x v="3"/>
    <s v="Dibba"/>
    <s v="t2"/>
    <s v="dib06_t2"/>
    <n v="0.624"/>
    <x v="31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3"/>
    <b v="1"/>
  </r>
  <r>
    <x v="17"/>
    <x v="4"/>
    <s v="Dibba"/>
    <s v="t1"/>
    <s v="dib06_t1"/>
    <n v="0.54400000000000004"/>
    <x v="193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3"/>
    <b v="1"/>
  </r>
  <r>
    <x v="17"/>
    <x v="4"/>
    <s v="Dibba"/>
    <s v="t2"/>
    <s v="dib06_t2"/>
    <n v="1.0209999999999999"/>
    <x v="7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3"/>
    <b v="1"/>
  </r>
  <r>
    <x v="17"/>
    <x v="5"/>
    <s v="Dibba"/>
    <s v="t1"/>
    <s v="dib06_t1"/>
    <n v="0.85199999999999998"/>
    <x v="28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3"/>
    <b v="1"/>
  </r>
  <r>
    <x v="17"/>
    <x v="5"/>
    <s v="Dibba"/>
    <s v="t2"/>
    <s v="dib06_t2"/>
    <n v="0.84799999999999998"/>
    <x v="103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3"/>
    <b v="1"/>
  </r>
  <r>
    <x v="17"/>
    <x v="6"/>
    <s v="Dibba"/>
    <s v="t1"/>
    <s v="dib06_t1"/>
    <n v="0.78900000000000003"/>
    <x v="53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3"/>
    <b v="1"/>
  </r>
  <r>
    <x v="17"/>
    <x v="6"/>
    <s v="Dibba"/>
    <s v="t2"/>
    <s v="dib06_t2"/>
    <n v="1.3"/>
    <x v="194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3"/>
    <b v="1"/>
  </r>
  <r>
    <x v="17"/>
    <x v="7"/>
    <s v="Dibba"/>
    <s v="t1"/>
    <s v="dib06_t1"/>
    <n v="0.873"/>
    <x v="195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3"/>
    <b v="1"/>
  </r>
  <r>
    <x v="17"/>
    <x v="7"/>
    <s v="Dibba"/>
    <s v="t2"/>
    <s v="dib06_t2"/>
    <n v="1.198"/>
    <x v="196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3"/>
    <b v="1"/>
  </r>
  <r>
    <x v="17"/>
    <x v="8"/>
    <s v="Dibba"/>
    <s v="t2"/>
    <s v="dib06_t2"/>
    <n v="1.292"/>
    <x v="175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3"/>
    <b v="1"/>
  </r>
  <r>
    <x v="17"/>
    <x v="8"/>
    <s v="Dibba"/>
    <s v="t1"/>
    <s v="dib06_t1"/>
    <n v="1.516"/>
    <x v="197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3"/>
    <b v="1"/>
  </r>
  <r>
    <x v="18"/>
    <x v="11"/>
    <s v="Dibba"/>
    <s v="t1"/>
    <s v="dib08_t1"/>
    <n v="0.29899999999999999"/>
    <x v="198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x v="0"/>
    <b v="1"/>
  </r>
  <r>
    <x v="18"/>
    <x v="0"/>
    <s v="Dibba"/>
    <s v="t1"/>
    <s v="dib08_t1"/>
    <n v="0.67100000000000004"/>
    <x v="56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x v="0"/>
    <b v="1"/>
  </r>
  <r>
    <x v="18"/>
    <x v="1"/>
    <s v="Dibba"/>
    <s v="t2"/>
    <s v="dib08_t2"/>
    <n v="0.751"/>
    <x v="82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0"/>
    <b v="1"/>
  </r>
  <r>
    <x v="18"/>
    <x v="1"/>
    <s v="Dibba"/>
    <s v="t1"/>
    <s v="dib08_t1"/>
    <n v="0.79"/>
    <x v="185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x v="0"/>
    <b v="1"/>
  </r>
  <r>
    <x v="18"/>
    <x v="2"/>
    <s v="Dibba"/>
    <s v="t1"/>
    <s v="dib08_t1"/>
    <n v="0.94099999999999995"/>
    <x v="199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0"/>
    <b v="1"/>
  </r>
  <r>
    <x v="18"/>
    <x v="2"/>
    <s v="Dibba"/>
    <s v="t2"/>
    <s v="dib08_t2"/>
    <n v="0.70299999999999996"/>
    <x v="186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x v="0"/>
    <b v="1"/>
  </r>
  <r>
    <x v="18"/>
    <x v="3"/>
    <s v="Dibba"/>
    <s v="t2"/>
    <s v="dib08_t2"/>
    <n v="0.89"/>
    <x v="136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0"/>
    <b v="1"/>
  </r>
  <r>
    <x v="18"/>
    <x v="3"/>
    <s v="Dibba"/>
    <s v="t1"/>
    <s v="dib08_t1"/>
    <n v="0.65800000000000003"/>
    <x v="81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0"/>
    <b v="1"/>
  </r>
  <r>
    <x v="18"/>
    <x v="4"/>
    <s v="Dibba"/>
    <s v="t2"/>
    <s v="dib08_t2"/>
    <n v="0.74299999999999999"/>
    <x v="200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0"/>
    <b v="1"/>
  </r>
  <r>
    <x v="18"/>
    <x v="4"/>
    <s v="Dibba"/>
    <s v="t1"/>
    <s v="dib08_t1"/>
    <n v="0.79900000000000004"/>
    <x v="102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0"/>
    <b v="1"/>
  </r>
  <r>
    <x v="18"/>
    <x v="5"/>
    <s v="Dibba"/>
    <s v="t1"/>
    <s v="dib08_t1"/>
    <n v="1.056"/>
    <x v="114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0"/>
    <b v="1"/>
  </r>
  <r>
    <x v="18"/>
    <x v="5"/>
    <s v="Dibba"/>
    <s v="t2"/>
    <s v="dib08_t2"/>
    <n v="0.89400000000000002"/>
    <x v="16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0"/>
    <b v="1"/>
  </r>
  <r>
    <x v="18"/>
    <x v="6"/>
    <s v="Dibba"/>
    <s v="t1"/>
    <s v="dib08_t1"/>
    <n v="0.85699999999999998"/>
    <x v="97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0"/>
    <b v="1"/>
  </r>
  <r>
    <x v="18"/>
    <x v="6"/>
    <s v="Dibba"/>
    <s v="t2"/>
    <s v="dib08_t2"/>
    <n v="0.64100000000000001"/>
    <x v="82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0"/>
    <b v="1"/>
  </r>
  <r>
    <x v="18"/>
    <x v="7"/>
    <s v="Dibba"/>
    <s v="t2"/>
    <s v="dib08_t2"/>
    <n v="0.871"/>
    <x v="6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0"/>
    <b v="1"/>
  </r>
  <r>
    <x v="18"/>
    <x v="7"/>
    <s v="Dibba"/>
    <s v="t1"/>
    <s v="dib08_t1"/>
    <n v="0.8"/>
    <x v="96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0"/>
    <b v="1"/>
  </r>
  <r>
    <x v="18"/>
    <x v="8"/>
    <s v="Dibba"/>
    <s v="t2"/>
    <s v="dib08_t2"/>
    <n v="0.47899999999999998"/>
    <x v="166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0"/>
    <b v="1"/>
  </r>
  <r>
    <x v="18"/>
    <x v="8"/>
    <s v="Dibba"/>
    <s v="t1"/>
    <s v="dib08_t1"/>
    <n v="0.61099999999999999"/>
    <x v="9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0"/>
    <b v="1"/>
  </r>
  <r>
    <x v="19"/>
    <x v="3"/>
    <s v="Dibba"/>
    <s v="t2"/>
    <s v="dib15_t2"/>
    <n v="0.85499999999999998"/>
    <x v="162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1"/>
    <b v="1"/>
  </r>
  <r>
    <x v="19"/>
    <x v="3"/>
    <s v="Dibba"/>
    <s v="t1"/>
    <s v="dib15_t1"/>
    <n v="0.92900000000000005"/>
    <x v="56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1"/>
    <b v="1"/>
  </r>
  <r>
    <x v="19"/>
    <x v="4"/>
    <s v="Dibba"/>
    <s v="t1"/>
    <s v="dib15_t1"/>
    <n v="0.73399999999999999"/>
    <x v="201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1"/>
    <b v="1"/>
  </r>
  <r>
    <x v="19"/>
    <x v="4"/>
    <s v="Dibba"/>
    <s v="t2"/>
    <s v="dib15_t2"/>
    <n v="0.876"/>
    <x v="173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1"/>
    <b v="1"/>
  </r>
  <r>
    <x v="19"/>
    <x v="5"/>
    <s v="Dibba"/>
    <s v="t2"/>
    <s v="dib15_t2"/>
    <n v="0.78800000000000003"/>
    <x v="0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1"/>
    <b v="1"/>
  </r>
  <r>
    <x v="19"/>
    <x v="5"/>
    <s v="Dibba"/>
    <s v="t1"/>
    <s v="dib15_t1"/>
    <n v="0.874"/>
    <x v="202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1"/>
    <b v="1"/>
  </r>
  <r>
    <x v="19"/>
    <x v="6"/>
    <s v="Dibba"/>
    <s v="t2"/>
    <s v="dib15_t2"/>
    <n v="0.71199999999999997"/>
    <x v="150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1"/>
    <b v="1"/>
  </r>
  <r>
    <x v="19"/>
    <x v="6"/>
    <s v="Dibba"/>
    <s v="t1"/>
    <s v="dib15_t1"/>
    <n v="0.59499999999999997"/>
    <x v="10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1"/>
    <b v="1"/>
  </r>
  <r>
    <x v="19"/>
    <x v="7"/>
    <s v="Dibba"/>
    <s v="t2"/>
    <s v="dib15_t2"/>
    <n v="0.84399999999999997"/>
    <x v="203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1"/>
    <b v="1"/>
  </r>
  <r>
    <x v="19"/>
    <x v="7"/>
    <s v="Dibba"/>
    <s v="t1"/>
    <s v="dib15_t1"/>
    <n v="0.85399999999999998"/>
    <x v="188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1"/>
    <b v="1"/>
  </r>
  <r>
    <x v="19"/>
    <x v="8"/>
    <s v="Dibba"/>
    <s v="t2"/>
    <s v="dib15_t2"/>
    <n v="0.48399999999999999"/>
    <x v="100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1"/>
    <b v="1"/>
  </r>
  <r>
    <x v="19"/>
    <x v="8"/>
    <s v="Dibba"/>
    <s v="t1"/>
    <s v="dib15_t1"/>
    <n v="0.51200000000000001"/>
    <x v="15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1"/>
    <b v="1"/>
  </r>
  <r>
    <x v="20"/>
    <x v="3"/>
    <s v="Dibba"/>
    <s v="t2"/>
    <s v="dib16_t2"/>
    <n v="1.2430000000000001"/>
    <x v="204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0"/>
    <b v="1"/>
  </r>
  <r>
    <x v="20"/>
    <x v="3"/>
    <s v="Dibba"/>
    <s v="t1"/>
    <s v="dib16_t1"/>
    <n v="1.3029999999999999"/>
    <x v="147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x v="0"/>
    <b v="1"/>
  </r>
  <r>
    <x v="20"/>
    <x v="4"/>
    <s v="Dibba"/>
    <s v="t1"/>
    <s v="dib16_t1"/>
    <n v="0.92600000000000005"/>
    <x v="38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0"/>
    <b v="1"/>
  </r>
  <r>
    <x v="20"/>
    <x v="4"/>
    <s v="Dibba"/>
    <s v="t2"/>
    <s v="dib16_t2"/>
    <n v="1.4730000000000001"/>
    <x v="205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x v="0"/>
    <b v="1"/>
  </r>
  <r>
    <x v="20"/>
    <x v="5"/>
    <s v="Dibba"/>
    <s v="t2"/>
    <s v="dib16_t2"/>
    <n v="1.0309999999999999"/>
    <x v="42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0"/>
    <b v="1"/>
  </r>
  <r>
    <x v="20"/>
    <x v="5"/>
    <s v="Dibba"/>
    <s v="t1"/>
    <s v="dib16_t1"/>
    <n v="1.113"/>
    <x v="189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x v="0"/>
    <b v="1"/>
  </r>
  <r>
    <x v="20"/>
    <x v="6"/>
    <s v="Dibba"/>
    <s v="t2"/>
    <s v="dib16_t2"/>
    <n v="1.147"/>
    <x v="78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0"/>
    <b v="1"/>
  </r>
  <r>
    <x v="20"/>
    <x v="6"/>
    <s v="Dibba"/>
    <s v="t1"/>
    <s v="dib16_t1"/>
    <n v="0.61299999999999999"/>
    <x v="206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x v="0"/>
    <b v="1"/>
  </r>
  <r>
    <x v="20"/>
    <x v="7"/>
    <s v="Dibba"/>
    <s v="t2"/>
    <s v="dib16_t2"/>
    <n v="1.048"/>
    <x v="207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0"/>
    <b v="1"/>
  </r>
  <r>
    <x v="20"/>
    <x v="7"/>
    <s v="Dibba"/>
    <s v="t1"/>
    <s v="dib16_t1"/>
    <n v="0.66300000000000003"/>
    <x v="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x v="0"/>
    <b v="1"/>
  </r>
  <r>
    <x v="20"/>
    <x v="8"/>
    <s v="Dibba"/>
    <s v="t1"/>
    <s v="dib16_t1"/>
    <n v="0.5"/>
    <x v="208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0"/>
    <b v="1"/>
  </r>
  <r>
    <x v="20"/>
    <x v="8"/>
    <s v="Dibba"/>
    <s v="t2"/>
    <s v="dib16_t2"/>
    <n v="0.49"/>
    <x v="13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x v="0"/>
    <b v="1"/>
  </r>
  <r>
    <x v="21"/>
    <x v="12"/>
    <s v="RasGhanada"/>
    <s v="t2"/>
    <s v="ras04_t2"/>
    <n v="0.67100000000000004"/>
    <x v="10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x v="11"/>
    <b v="1"/>
  </r>
  <r>
    <x v="21"/>
    <x v="12"/>
    <s v="RasGhanada"/>
    <s v="t1"/>
    <s v="ras04_t1"/>
    <n v="0.7"/>
    <x v="10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x v="11"/>
    <b v="1"/>
  </r>
  <r>
    <x v="21"/>
    <x v="13"/>
    <s v="RasGhanada"/>
    <s v="t2"/>
    <s v="ras04_t2"/>
    <n v="0.28399999999999997"/>
    <x v="88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x v="11"/>
    <b v="1"/>
  </r>
  <r>
    <x v="21"/>
    <x v="13"/>
    <s v="RasGhanada"/>
    <s v="t1"/>
    <s v="ras04_t1"/>
    <n v="0.307"/>
    <x v="88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x v="11"/>
    <b v="1"/>
  </r>
  <r>
    <x v="21"/>
    <x v="9"/>
    <s v="RasGhanada"/>
    <s v="t1"/>
    <s v="ras04_t1"/>
    <n v="0.57899999999999996"/>
    <x v="209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11"/>
    <b v="1"/>
  </r>
  <r>
    <x v="21"/>
    <x v="9"/>
    <s v="RasGhanada"/>
    <s v="t2"/>
    <s v="ras04_t2"/>
    <n v="0.53700000000000003"/>
    <x v="209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11"/>
    <b v="1"/>
  </r>
  <r>
    <x v="21"/>
    <x v="10"/>
    <s v="RasGhanada"/>
    <s v="t2"/>
    <s v="ras04_t2"/>
    <n v="0.45700000000000002"/>
    <x v="210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11"/>
    <b v="1"/>
  </r>
  <r>
    <x v="21"/>
    <x v="10"/>
    <s v="RasGhanada"/>
    <s v="t1"/>
    <s v="ras04_t1"/>
    <n v="0.495"/>
    <x v="210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11"/>
    <b v="1"/>
  </r>
  <r>
    <x v="21"/>
    <x v="11"/>
    <s v="RasGhanada"/>
    <s v="t2"/>
    <s v="ras04_t2"/>
    <n v="0.66100000000000003"/>
    <x v="47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11"/>
    <b v="1"/>
  </r>
  <r>
    <x v="21"/>
    <x v="11"/>
    <s v="RasGhanada"/>
    <s v="t1"/>
    <s v="ras04_t1"/>
    <n v="0.70099999999999996"/>
    <x v="211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11"/>
    <b v="1"/>
  </r>
  <r>
    <x v="21"/>
    <x v="0"/>
    <s v="RasGhanada"/>
    <s v="t2"/>
    <s v="ras04_t2"/>
    <n v="0.73299999999999998"/>
    <x v="212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11"/>
    <b v="1"/>
  </r>
  <r>
    <x v="21"/>
    <x v="0"/>
    <s v="RasGhanada"/>
    <s v="t1"/>
    <s v="ras04_t1"/>
    <n v="0.745"/>
    <x v="57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11"/>
    <b v="1"/>
  </r>
  <r>
    <x v="21"/>
    <x v="1"/>
    <s v="RasGhanada"/>
    <s v="t2"/>
    <s v="ras04_t2"/>
    <n v="0.71899999999999997"/>
    <x v="157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1"/>
    <b v="1"/>
  </r>
  <r>
    <x v="21"/>
    <x v="1"/>
    <s v="RasGhanada"/>
    <s v="t1"/>
    <s v="ras04_t1"/>
    <n v="0.67100000000000004"/>
    <x v="150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1"/>
    <b v="1"/>
  </r>
  <r>
    <x v="21"/>
    <x v="2"/>
    <s v="RasGhanada"/>
    <s v="t1"/>
    <s v="ras04_t1"/>
    <n v="0.621"/>
    <x v="50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1"/>
    <b v="1"/>
  </r>
  <r>
    <x v="21"/>
    <x v="2"/>
    <s v="RasGhanada"/>
    <s v="t2"/>
    <s v="ras04_t2"/>
    <n v="0.63400000000000001"/>
    <x v="47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1"/>
    <b v="1"/>
  </r>
  <r>
    <x v="21"/>
    <x v="3"/>
    <s v="RasGhanada"/>
    <s v="t1"/>
    <s v="ras04_t1"/>
    <n v="0.60399999999999998"/>
    <x v="36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1"/>
    <b v="1"/>
  </r>
  <r>
    <x v="21"/>
    <x v="3"/>
    <s v="RasGhanada"/>
    <s v="t2"/>
    <s v="ras04_t2"/>
    <n v="0.60799999999999998"/>
    <x v="54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1"/>
    <b v="1"/>
  </r>
  <r>
    <x v="21"/>
    <x v="4"/>
    <s v="RasGhanada"/>
    <s v="t2"/>
    <s v="ras04_t2"/>
    <n v="0.59199999999999997"/>
    <x v="36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1"/>
    <b v="1"/>
  </r>
  <r>
    <x v="21"/>
    <x v="4"/>
    <s v="RasGhanada"/>
    <s v="t1"/>
    <s v="ras04_t1"/>
    <n v="0.58499999999999996"/>
    <x v="36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1"/>
    <b v="1"/>
  </r>
  <r>
    <x v="21"/>
    <x v="5"/>
    <s v="RasGhanada"/>
    <s v="t2"/>
    <s v="ras04_t2"/>
    <n v="0.627"/>
    <x v="36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1"/>
    <b v="1"/>
  </r>
  <r>
    <x v="21"/>
    <x v="5"/>
    <s v="RasGhanada"/>
    <s v="t1"/>
    <s v="ras04_t1"/>
    <n v="0.59899999999999998"/>
    <x v="36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1"/>
    <b v="1"/>
  </r>
  <r>
    <x v="21"/>
    <x v="6"/>
    <s v="RasGhanada"/>
    <s v="t2"/>
    <s v="ras04_t2"/>
    <n v="0.66400000000000003"/>
    <x v="13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1"/>
    <b v="1"/>
  </r>
  <r>
    <x v="21"/>
    <x v="6"/>
    <s v="RasGhanada"/>
    <s v="t1"/>
    <s v="ras04_t1"/>
    <n v="0.64200000000000002"/>
    <x v="13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1"/>
    <b v="1"/>
  </r>
  <r>
    <x v="21"/>
    <x v="7"/>
    <s v="RasGhanada"/>
    <s v="t2"/>
    <s v="ras04_t2"/>
    <n v="0.58599999999999997"/>
    <x v="174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1"/>
    <b v="1"/>
  </r>
  <r>
    <x v="21"/>
    <x v="7"/>
    <s v="RasGhanada"/>
    <s v="t1"/>
    <s v="ras04_t1"/>
    <n v="0.57299999999999995"/>
    <x v="174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1"/>
    <b v="1"/>
  </r>
  <r>
    <x v="21"/>
    <x v="8"/>
    <s v="RasGhanada"/>
    <s v="t1"/>
    <s v="ras04_t1"/>
    <n v="0.35199999999999998"/>
    <x v="129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1"/>
    <b v="1"/>
  </r>
  <r>
    <x v="21"/>
    <x v="8"/>
    <s v="RasGhanada"/>
    <s v="t2"/>
    <s v="ras04_t2"/>
    <n v="0.36699999999999999"/>
    <x v="129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1"/>
    <b v="1"/>
  </r>
  <r>
    <x v="22"/>
    <x v="1"/>
    <s v="RasGhanada"/>
    <s v="t2"/>
    <s v="ras07_t2"/>
    <n v="0.56200000000000006"/>
    <x v="99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2"/>
    <b v="1"/>
  </r>
  <r>
    <x v="22"/>
    <x v="1"/>
    <s v="RasGhanada"/>
    <s v="t1"/>
    <s v="ras07_t1"/>
    <n v="0.56299999999999994"/>
    <x v="209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2"/>
    <b v="1"/>
  </r>
  <r>
    <x v="22"/>
    <x v="2"/>
    <s v="RasGhanada"/>
    <s v="t2"/>
    <s v="ras07_t2"/>
    <n v="0.39800000000000002"/>
    <x v="213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2"/>
    <b v="1"/>
  </r>
  <r>
    <x v="22"/>
    <x v="2"/>
    <s v="RasGhanada"/>
    <s v="t1"/>
    <s v="ras07_t1"/>
    <n v="0.55100000000000005"/>
    <x v="91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2"/>
    <b v="1"/>
  </r>
  <r>
    <x v="22"/>
    <x v="3"/>
    <s v="RasGhanada"/>
    <s v="t1"/>
    <s v="ras07_t1"/>
    <n v="0.51100000000000001"/>
    <x v="130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2"/>
    <b v="1"/>
  </r>
  <r>
    <x v="22"/>
    <x v="3"/>
    <s v="RasGhanada"/>
    <s v="t2"/>
    <s v="ras07_t2"/>
    <n v="0.75800000000000001"/>
    <x v="8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2"/>
    <b v="1"/>
  </r>
  <r>
    <x v="22"/>
    <x v="4"/>
    <s v="RasGhanada"/>
    <s v="t1"/>
    <s v="ras07_t1"/>
    <n v="0.372"/>
    <x v="11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2"/>
    <b v="1"/>
  </r>
  <r>
    <x v="22"/>
    <x v="4"/>
    <s v="RasGhanada"/>
    <s v="t2"/>
    <s v="ras07_t2"/>
    <n v="0.32100000000000001"/>
    <x v="214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2"/>
    <b v="1"/>
  </r>
  <r>
    <x v="22"/>
    <x v="5"/>
    <s v="RasGhanada"/>
    <s v="t2"/>
    <s v="ras07_t2"/>
    <n v="0.61"/>
    <x v="99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2"/>
    <b v="1"/>
  </r>
  <r>
    <x v="22"/>
    <x v="5"/>
    <s v="RasGhanada"/>
    <s v="t1"/>
    <s v="ras07_t1"/>
    <n v="0.42399999999999999"/>
    <x v="21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2"/>
    <b v="1"/>
  </r>
  <r>
    <x v="22"/>
    <x v="6"/>
    <s v="RasGhanada"/>
    <s v="t1"/>
    <s v="ras07_t1"/>
    <n v="0.36699999999999999"/>
    <x v="216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2"/>
    <b v="1"/>
  </r>
  <r>
    <x v="22"/>
    <x v="6"/>
    <s v="RasGhanada"/>
    <s v="t2"/>
    <s v="ras07_t2"/>
    <n v="0.42"/>
    <x v="154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2"/>
    <b v="1"/>
  </r>
  <r>
    <x v="22"/>
    <x v="7"/>
    <s v="RasGhanada"/>
    <s v="t2"/>
    <s v="ras07_t2"/>
    <n v="0.46300000000000002"/>
    <x v="168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2"/>
    <b v="1"/>
  </r>
  <r>
    <x v="22"/>
    <x v="7"/>
    <s v="RasGhanada"/>
    <s v="t1"/>
    <s v="ras07_t1"/>
    <n v="0.54"/>
    <x v="150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2"/>
    <b v="1"/>
  </r>
  <r>
    <x v="22"/>
    <x v="8"/>
    <s v="RasGhanada"/>
    <s v="t2"/>
    <s v="ras07_t2"/>
    <n v="0.624"/>
    <x v="50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2"/>
    <b v="1"/>
  </r>
  <r>
    <x v="22"/>
    <x v="8"/>
    <s v="RasGhanada"/>
    <s v="t1"/>
    <s v="ras07_t1"/>
    <n v="0.46800000000000003"/>
    <x v="150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2"/>
    <b v="1"/>
  </r>
  <r>
    <x v="23"/>
    <x v="1"/>
    <s v="RasGhanada"/>
    <s v="t2"/>
    <s v="ras09_t2"/>
    <n v="0.64900000000000002"/>
    <x v="168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5"/>
    <b v="1"/>
  </r>
  <r>
    <x v="23"/>
    <x v="1"/>
    <s v="RasGhanada"/>
    <s v="t1"/>
    <s v="ras09_t1"/>
    <n v="0.53400000000000003"/>
    <x v="154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5"/>
    <b v="1"/>
  </r>
  <r>
    <x v="23"/>
    <x v="2"/>
    <s v="RasGhanada"/>
    <s v="t2"/>
    <s v="ras09_t2"/>
    <n v="0.505"/>
    <x v="170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5"/>
    <b v="1"/>
  </r>
  <r>
    <x v="23"/>
    <x v="2"/>
    <s v="RasGhanada"/>
    <s v="t1"/>
    <s v="ras09_t1"/>
    <n v="0.49199999999999999"/>
    <x v="217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5"/>
    <b v="1"/>
  </r>
  <r>
    <x v="23"/>
    <x v="3"/>
    <s v="RasGhanada"/>
    <s v="t2"/>
    <s v="ras09_t2"/>
    <n v="0.59199999999999997"/>
    <x v="15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5"/>
    <b v="1"/>
  </r>
  <r>
    <x v="23"/>
    <x v="3"/>
    <s v="RasGhanada"/>
    <s v="t1"/>
    <s v="ras09_t1"/>
    <n v="0.72799999999999998"/>
    <x v="218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5"/>
    <b v="1"/>
  </r>
  <r>
    <x v="23"/>
    <x v="4"/>
    <s v="RasGhanada"/>
    <s v="t1"/>
    <s v="ras09_t1"/>
    <n v="0.99299999999999999"/>
    <x v="184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5"/>
    <b v="1"/>
  </r>
  <r>
    <x v="23"/>
    <x v="4"/>
    <s v="RasGhanada"/>
    <s v="t2"/>
    <s v="ras09_t2"/>
    <n v="0.75800000000000001"/>
    <x v="46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5"/>
    <b v="1"/>
  </r>
  <r>
    <x v="23"/>
    <x v="5"/>
    <s v="RasGhanada"/>
    <s v="t2"/>
    <s v="ras09_t2"/>
    <n v="0.6"/>
    <x v="54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5"/>
    <b v="1"/>
  </r>
  <r>
    <x v="23"/>
    <x v="5"/>
    <s v="RasGhanada"/>
    <s v="t1"/>
    <s v="ras09_t1"/>
    <n v="0.68300000000000005"/>
    <x v="50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5"/>
    <b v="1"/>
  </r>
  <r>
    <x v="23"/>
    <x v="6"/>
    <s v="RasGhanada"/>
    <s v="t1"/>
    <s v="ras09_t1"/>
    <n v="0.46500000000000002"/>
    <x v="215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5"/>
    <b v="1"/>
  </r>
  <r>
    <x v="23"/>
    <x v="6"/>
    <s v="RasGhanada"/>
    <s v="t2"/>
    <s v="ras09_t2"/>
    <n v="0.61599999999999999"/>
    <x v="90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5"/>
    <b v="1"/>
  </r>
  <r>
    <x v="23"/>
    <x v="7"/>
    <s v="RasGhanada"/>
    <s v="t2"/>
    <s v="ras09_t2"/>
    <n v="0.55200000000000005"/>
    <x v="166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5"/>
    <b v="1"/>
  </r>
  <r>
    <x v="23"/>
    <x v="7"/>
    <s v="RasGhanada"/>
    <s v="t1"/>
    <s v="ras09_t1"/>
    <n v="0.85899999999999999"/>
    <x v="1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5"/>
    <b v="1"/>
  </r>
  <r>
    <x v="23"/>
    <x v="8"/>
    <s v="RasGhanada"/>
    <s v="t1"/>
    <s v="ras09_t1"/>
    <n v="0.3"/>
    <x v="133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5"/>
    <b v="1"/>
  </r>
  <r>
    <x v="23"/>
    <x v="8"/>
    <s v="RasGhanada"/>
    <s v="t2"/>
    <s v="ras09_t2"/>
    <n v="0.67100000000000004"/>
    <x v="9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5"/>
    <b v="1"/>
  </r>
  <r>
    <x v="24"/>
    <x v="13"/>
    <s v="RasGhanada"/>
    <s v="t1"/>
    <s v="ras11_t1"/>
    <n v="1.2989999999999999"/>
    <x v="219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x v="13"/>
    <b v="1"/>
  </r>
  <r>
    <x v="24"/>
    <x v="13"/>
    <s v="RasGhanada"/>
    <s v="t2"/>
    <s v="ras11_t2"/>
    <n v="0.71799999999999997"/>
    <x v="220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x v="13"/>
    <b v="1"/>
  </r>
  <r>
    <x v="24"/>
    <x v="9"/>
    <s v="RasGhanada"/>
    <s v="t2"/>
    <s v="ras11_t2"/>
    <n v="0.61399999999999999"/>
    <x v="206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13"/>
    <b v="1"/>
  </r>
  <r>
    <x v="24"/>
    <x v="9"/>
    <s v="RasGhanada"/>
    <s v="t1"/>
    <s v="ras11_t1"/>
    <n v="0.83199999999999996"/>
    <x v="159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13"/>
    <b v="1"/>
  </r>
  <r>
    <x v="24"/>
    <x v="10"/>
    <s v="RasGhanada"/>
    <s v="t2"/>
    <s v="ras11_t2"/>
    <n v="0.85699999999999998"/>
    <x v="221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13"/>
    <b v="1"/>
  </r>
  <r>
    <x v="24"/>
    <x v="10"/>
    <s v="RasGhanada"/>
    <s v="t1"/>
    <s v="ras11_t1"/>
    <n v="0.99299999999999999"/>
    <x v="222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13"/>
    <b v="1"/>
  </r>
  <r>
    <x v="24"/>
    <x v="11"/>
    <s v="RasGhanada"/>
    <s v="t2"/>
    <s v="ras11_t2"/>
    <n v="0.97"/>
    <x v="128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13"/>
    <b v="1"/>
  </r>
  <r>
    <x v="24"/>
    <x v="11"/>
    <s v="RasGhanada"/>
    <s v="t1"/>
    <s v="ras11_t1"/>
    <n v="0.753"/>
    <x v="12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13"/>
    <b v="1"/>
  </r>
  <r>
    <x v="24"/>
    <x v="0"/>
    <s v="RasGhanada"/>
    <s v="t1"/>
    <s v="ras11_t1"/>
    <n v="1.2010000000000001"/>
    <x v="223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13"/>
    <b v="1"/>
  </r>
  <r>
    <x v="24"/>
    <x v="0"/>
    <s v="RasGhanada"/>
    <s v="t2"/>
    <s v="ras11_t2"/>
    <n v="0.90800000000000003"/>
    <x v="224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13"/>
    <b v="1"/>
  </r>
  <r>
    <x v="24"/>
    <x v="1"/>
    <s v="RasGhanada"/>
    <s v="t1"/>
    <s v="ras11_t1"/>
    <n v="1.093"/>
    <x v="42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3"/>
    <b v="1"/>
  </r>
  <r>
    <x v="24"/>
    <x v="1"/>
    <s v="RasGhanada"/>
    <s v="t2"/>
    <s v="ras11_t2"/>
    <n v="0.73599999999999999"/>
    <x v="183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3"/>
    <b v="1"/>
  </r>
  <r>
    <x v="24"/>
    <x v="2"/>
    <s v="RasGhanada"/>
    <s v="t2"/>
    <s v="ras11_t2"/>
    <n v="0.88800000000000001"/>
    <x v="38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3"/>
    <b v="1"/>
  </r>
  <r>
    <x v="24"/>
    <x v="2"/>
    <s v="RasGhanada"/>
    <s v="t1"/>
    <s v="ras11_t1"/>
    <n v="0.77700000000000002"/>
    <x v="186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3"/>
    <b v="1"/>
  </r>
  <r>
    <x v="24"/>
    <x v="3"/>
    <s v="RasGhanada"/>
    <s v="t1"/>
    <s v="ras11_t1"/>
    <n v="0.84099999999999997"/>
    <x v="224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3"/>
    <b v="1"/>
  </r>
  <r>
    <x v="24"/>
    <x v="3"/>
    <s v="RasGhanada"/>
    <s v="t2"/>
    <s v="ras11_t2"/>
    <n v="0.86"/>
    <x v="28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3"/>
    <b v="1"/>
  </r>
  <r>
    <x v="24"/>
    <x v="4"/>
    <s v="RasGhanada"/>
    <s v="t2"/>
    <s v="ras11_t2"/>
    <n v="1.2609999999999999"/>
    <x v="225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3"/>
    <b v="1"/>
  </r>
  <r>
    <x v="24"/>
    <x v="4"/>
    <s v="RasGhanada"/>
    <s v="t1"/>
    <s v="ras11_t1"/>
    <n v="1.3520000000000001"/>
    <x v="78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3"/>
    <b v="1"/>
  </r>
  <r>
    <x v="24"/>
    <x v="5"/>
    <s v="RasGhanada"/>
    <s v="t1"/>
    <s v="ras11_t1"/>
    <n v="0.76100000000000001"/>
    <x v="9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3"/>
    <b v="1"/>
  </r>
  <r>
    <x v="24"/>
    <x v="5"/>
    <s v="RasGhanada"/>
    <s v="t2"/>
    <s v="ras11_t2"/>
    <n v="0.89200000000000002"/>
    <x v="4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3"/>
    <b v="1"/>
  </r>
  <r>
    <x v="24"/>
    <x v="6"/>
    <s v="RasGhanada"/>
    <s v="t1"/>
    <s v="ras11_t1"/>
    <n v="1.341"/>
    <x v="175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3"/>
    <b v="1"/>
  </r>
  <r>
    <x v="24"/>
    <x v="6"/>
    <s v="RasGhanada"/>
    <s v="t2"/>
    <s v="ras11_t2"/>
    <n v="1.19"/>
    <x v="128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3"/>
    <b v="1"/>
  </r>
  <r>
    <x v="24"/>
    <x v="7"/>
    <s v="RasGhanada"/>
    <s v="t1"/>
    <s v="ras11_t1"/>
    <n v="0.80700000000000005"/>
    <x v="37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3"/>
    <b v="1"/>
  </r>
  <r>
    <x v="24"/>
    <x v="7"/>
    <s v="RasGhanada"/>
    <s v="t2"/>
    <s v="ras11_t2"/>
    <n v="0.84299999999999997"/>
    <x v="226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3"/>
    <b v="1"/>
  </r>
  <r>
    <x v="24"/>
    <x v="8"/>
    <s v="RasGhanada"/>
    <s v="t1"/>
    <s v="ras11_t1"/>
    <n v="0.83"/>
    <x v="12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3"/>
    <b v="1"/>
  </r>
  <r>
    <x v="24"/>
    <x v="8"/>
    <s v="RasGhanada"/>
    <s v="t2"/>
    <s v="ras11_t2"/>
    <n v="0.94299999999999995"/>
    <x v="10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3"/>
    <b v="1"/>
  </r>
  <r>
    <x v="25"/>
    <x v="12"/>
    <s v="RasGhanada"/>
    <s v="t1"/>
    <s v="ras12_t1"/>
    <n v="1.452"/>
    <x v="227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x v="7"/>
    <b v="1"/>
  </r>
  <r>
    <x v="25"/>
    <x v="12"/>
    <s v="RasGhanada"/>
    <s v="t2"/>
    <s v="ras12_t2"/>
    <n v="0.504"/>
    <x v="104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x v="7"/>
    <b v="1"/>
  </r>
  <r>
    <x v="25"/>
    <x v="13"/>
    <s v="RasGhanada"/>
    <s v="t2"/>
    <s v="ras12_t2"/>
    <n v="0.75700000000000001"/>
    <x v="10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x v="7"/>
    <b v="1"/>
  </r>
  <r>
    <x v="25"/>
    <x v="13"/>
    <s v="RasGhanada"/>
    <s v="t1"/>
    <s v="ras12_t1"/>
    <n v="1.0580000000000001"/>
    <x v="7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x v="7"/>
    <b v="1"/>
  </r>
  <r>
    <x v="25"/>
    <x v="9"/>
    <s v="RasGhanada"/>
    <s v="t1"/>
    <s v="ras12_t1"/>
    <n v="0.61399999999999999"/>
    <x v="90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7"/>
    <b v="1"/>
  </r>
  <r>
    <x v="25"/>
    <x v="9"/>
    <s v="RasGhanada"/>
    <s v="t2"/>
    <s v="ras12_t2"/>
    <n v="0.77600000000000002"/>
    <x v="73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7"/>
    <b v="1"/>
  </r>
  <r>
    <x v="25"/>
    <x v="10"/>
    <s v="RasGhanada"/>
    <s v="t2"/>
    <s v="ras12_t2"/>
    <n v="0.315"/>
    <x v="129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7"/>
    <b v="1"/>
  </r>
  <r>
    <x v="25"/>
    <x v="10"/>
    <s v="RasGhanada"/>
    <s v="t1"/>
    <s v="ras12_t1"/>
    <n v="0.72699999999999998"/>
    <x v="228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7"/>
    <b v="1"/>
  </r>
  <r>
    <x v="25"/>
    <x v="11"/>
    <s v="RasGhanada"/>
    <s v="t2"/>
    <s v="ras12_t2"/>
    <n v="1.171"/>
    <x v="4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7"/>
    <b v="1"/>
  </r>
  <r>
    <x v="25"/>
    <x v="11"/>
    <s v="RasGhanada"/>
    <s v="t1"/>
    <s v="ras12_t1"/>
    <n v="0.81899999999999995"/>
    <x v="13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7"/>
    <b v="1"/>
  </r>
  <r>
    <x v="25"/>
    <x v="0"/>
    <s v="RasGhanada"/>
    <s v="t2"/>
    <s v="ras12_t2"/>
    <n v="0.98499999999999999"/>
    <x v="157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7"/>
    <b v="1"/>
  </r>
  <r>
    <x v="25"/>
    <x v="0"/>
    <s v="RasGhanada"/>
    <s v="t1"/>
    <s v="ras12_t1"/>
    <n v="0.70599999999999996"/>
    <x v="165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7"/>
    <b v="1"/>
  </r>
  <r>
    <x v="25"/>
    <x v="1"/>
    <s v="RasGhanada"/>
    <s v="t2"/>
    <s v="ras12_t2"/>
    <n v="0.73"/>
    <x v="90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7"/>
    <b v="1"/>
  </r>
  <r>
    <x v="25"/>
    <x v="1"/>
    <s v="RasGhanada"/>
    <s v="t1"/>
    <s v="ras12_t1"/>
    <n v="1.2769999999999999"/>
    <x v="39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7"/>
    <b v="1"/>
  </r>
  <r>
    <x v="25"/>
    <x v="2"/>
    <s v="RasGhanada"/>
    <s v="t1"/>
    <s v="ras12_t1"/>
    <n v="0.77500000000000002"/>
    <x v="37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7"/>
    <b v="1"/>
  </r>
  <r>
    <x v="25"/>
    <x v="2"/>
    <s v="RasGhanada"/>
    <s v="t2"/>
    <s v="ras12_t2"/>
    <n v="1.554"/>
    <x v="124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7"/>
    <b v="1"/>
  </r>
  <r>
    <x v="25"/>
    <x v="3"/>
    <s v="RasGhanada"/>
    <s v="t2"/>
    <s v="ras12_t2"/>
    <n v="0.873"/>
    <x v="20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7"/>
    <b v="1"/>
  </r>
  <r>
    <x v="25"/>
    <x v="3"/>
    <s v="RasGhanada"/>
    <s v="t1"/>
    <s v="ras12_t1"/>
    <n v="1.5249999999999999"/>
    <x v="167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7"/>
    <b v="1"/>
  </r>
  <r>
    <x v="25"/>
    <x v="4"/>
    <s v="RasGhanada"/>
    <s v="t1"/>
    <s v="ras12_t1"/>
    <n v="0.46899999999999997"/>
    <x v="11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7"/>
    <b v="1"/>
  </r>
  <r>
    <x v="25"/>
    <x v="4"/>
    <s v="RasGhanada"/>
    <s v="t2"/>
    <s v="ras12_t2"/>
    <n v="0.54900000000000004"/>
    <x v="170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7"/>
    <b v="1"/>
  </r>
  <r>
    <x v="25"/>
    <x v="5"/>
    <s v="RasGhanada"/>
    <s v="t1"/>
    <s v="ras12_t1"/>
    <n v="0.79800000000000004"/>
    <x v="226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7"/>
    <b v="1"/>
  </r>
  <r>
    <x v="25"/>
    <x v="5"/>
    <s v="RasGhanada"/>
    <s v="t2"/>
    <s v="ras12_t2"/>
    <n v="1.07"/>
    <x v="18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7"/>
    <b v="1"/>
  </r>
  <r>
    <x v="25"/>
    <x v="6"/>
    <s v="RasGhanada"/>
    <s v="t2"/>
    <s v="ras12_t2"/>
    <n v="0.498"/>
    <x v="130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7"/>
    <b v="1"/>
  </r>
  <r>
    <x v="25"/>
    <x v="6"/>
    <s v="RasGhanada"/>
    <s v="t1"/>
    <s v="ras12_t1"/>
    <n v="0.98599999999999999"/>
    <x v="96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7"/>
    <b v="1"/>
  </r>
  <r>
    <x v="25"/>
    <x v="7"/>
    <s v="RasGhanada"/>
    <s v="t1"/>
    <s v="ras12_t1"/>
    <n v="0.82799999999999996"/>
    <x v="229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7"/>
    <b v="1"/>
  </r>
  <r>
    <x v="25"/>
    <x v="7"/>
    <s v="RasGhanada"/>
    <s v="t2"/>
    <s v="ras12_t2"/>
    <n v="0.91300000000000003"/>
    <x v="102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7"/>
    <b v="1"/>
  </r>
  <r>
    <x v="25"/>
    <x v="8"/>
    <s v="RasGhanada"/>
    <s v="t1"/>
    <s v="ras12_t1"/>
    <n v="0.70199999999999996"/>
    <x v="153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7"/>
    <b v="1"/>
  </r>
  <r>
    <x v="25"/>
    <x v="8"/>
    <s v="RasGhanada"/>
    <s v="t2"/>
    <s v="ras12_t2"/>
    <n v="0.63400000000000001"/>
    <x v="158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7"/>
    <b v="1"/>
  </r>
  <r>
    <x v="26"/>
    <x v="9"/>
    <s v="RasGhanada"/>
    <s v="t2"/>
    <s v="ras13_t2"/>
    <n v="0.38500000000000001"/>
    <x v="154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x v="3"/>
    <b v="1"/>
  </r>
  <r>
    <x v="26"/>
    <x v="10"/>
    <s v="RasGhanada"/>
    <s v="t2"/>
    <s v="ras13_t2"/>
    <n v="0.58099999999999996"/>
    <x v="37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3"/>
    <b v="1"/>
  </r>
  <r>
    <x v="26"/>
    <x v="11"/>
    <s v="RasGhanada"/>
    <s v="t1"/>
    <s v="ras13_t1"/>
    <n v="0.49299999999999999"/>
    <x v="230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3"/>
    <b v="1"/>
  </r>
  <r>
    <x v="26"/>
    <x v="11"/>
    <s v="RasGhanada"/>
    <s v="t2"/>
    <s v="ras13_t2"/>
    <n v="0.65500000000000003"/>
    <x v="21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3"/>
    <b v="1"/>
  </r>
  <r>
    <x v="26"/>
    <x v="0"/>
    <s v="RasGhanada"/>
    <s v="t2"/>
    <s v="ras13_t2"/>
    <n v="0.71199999999999997"/>
    <x v="73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3"/>
    <b v="1"/>
  </r>
  <r>
    <x v="26"/>
    <x v="0"/>
    <s v="RasGhanada"/>
    <s v="t1"/>
    <s v="ras13_t1"/>
    <n v="0.69399999999999995"/>
    <x v="73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3"/>
    <b v="1"/>
  </r>
  <r>
    <x v="26"/>
    <x v="1"/>
    <s v="RasGhanada"/>
    <s v="t1"/>
    <s v="ras13_t1"/>
    <n v="0.51100000000000001"/>
    <x v="166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3"/>
    <b v="1"/>
  </r>
  <r>
    <x v="26"/>
    <x v="1"/>
    <s v="RasGhanada"/>
    <s v="t2"/>
    <s v="ras13_t2"/>
    <n v="0.61299999999999999"/>
    <x v="49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3"/>
    <b v="1"/>
  </r>
  <r>
    <x v="26"/>
    <x v="2"/>
    <s v="RasGhanada"/>
    <s v="t2"/>
    <s v="ras13_t2"/>
    <n v="0.79400000000000004"/>
    <x v="30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3"/>
    <b v="1"/>
  </r>
  <r>
    <x v="26"/>
    <x v="2"/>
    <s v="RasGhanada"/>
    <s v="t1"/>
    <s v="ras13_t1"/>
    <n v="0.59699999999999998"/>
    <x v="47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3"/>
    <b v="1"/>
  </r>
  <r>
    <x v="26"/>
    <x v="3"/>
    <s v="RasGhanada"/>
    <s v="t2"/>
    <s v="ras13_t2"/>
    <n v="0.92200000000000004"/>
    <x v="96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3"/>
    <b v="1"/>
  </r>
  <r>
    <x v="26"/>
    <x v="3"/>
    <s v="RasGhanada"/>
    <s v="t1"/>
    <s v="ras13_t1"/>
    <n v="0.57399999999999995"/>
    <x v="49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3"/>
    <b v="1"/>
  </r>
  <r>
    <x v="26"/>
    <x v="4"/>
    <s v="RasGhanada"/>
    <s v="t2"/>
    <s v="ras13_t2"/>
    <n v="0.502"/>
    <x v="215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3"/>
    <b v="1"/>
  </r>
  <r>
    <x v="26"/>
    <x v="4"/>
    <s v="RasGhanada"/>
    <s v="t1"/>
    <s v="ras13_t1"/>
    <n v="0.56200000000000006"/>
    <x v="100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3"/>
    <b v="1"/>
  </r>
  <r>
    <x v="26"/>
    <x v="5"/>
    <s v="RasGhanada"/>
    <s v="t2"/>
    <s v="ras13_t2"/>
    <n v="0.98799999999999999"/>
    <x v="23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3"/>
    <b v="1"/>
  </r>
  <r>
    <x v="26"/>
    <x v="5"/>
    <s v="RasGhanada"/>
    <s v="t1"/>
    <s v="ras13_t1"/>
    <n v="0.94299999999999995"/>
    <x v="19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3"/>
    <b v="1"/>
  </r>
  <r>
    <x v="26"/>
    <x v="6"/>
    <s v="RasGhanada"/>
    <s v="t2"/>
    <s v="ras13_t2"/>
    <n v="0.53500000000000003"/>
    <x v="9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3"/>
    <b v="1"/>
  </r>
  <r>
    <x v="26"/>
    <x v="6"/>
    <s v="RasGhanada"/>
    <s v="t1"/>
    <s v="ras13_t1"/>
    <n v="1.143"/>
    <x v="23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3"/>
    <b v="1"/>
  </r>
  <r>
    <x v="26"/>
    <x v="7"/>
    <s v="RasGhanada"/>
    <s v="t1"/>
    <s v="ras13_t1"/>
    <n v="1.0389999999999999"/>
    <x v="220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3"/>
    <b v="1"/>
  </r>
  <r>
    <x v="26"/>
    <x v="7"/>
    <s v="RasGhanada"/>
    <s v="t2"/>
    <s v="ras13_t2"/>
    <n v="0.61599999999999999"/>
    <x v="52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3"/>
    <b v="1"/>
  </r>
  <r>
    <x v="26"/>
    <x v="8"/>
    <s v="RasGhanada"/>
    <s v="t1"/>
    <s v="ras13_t1"/>
    <n v="0.80400000000000005"/>
    <x v="188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3"/>
    <b v="1"/>
  </r>
  <r>
    <x v="26"/>
    <x v="8"/>
    <s v="RasGhanada"/>
    <s v="t2"/>
    <s v="ras13_t2"/>
    <n v="0.86099999999999999"/>
    <x v="72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3"/>
    <b v="1"/>
  </r>
  <r>
    <x v="27"/>
    <x v="11"/>
    <s v="RasGhanada"/>
    <s v="t1"/>
    <s v="ras15_t1"/>
    <n v="0.38"/>
    <x v="160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1"/>
    <b v="1"/>
  </r>
  <r>
    <x v="27"/>
    <x v="11"/>
    <s v="RasGhanada"/>
    <s v="t2"/>
    <s v="ras15_t2"/>
    <n v="0.49199999999999999"/>
    <x v="174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1"/>
    <b v="1"/>
  </r>
  <r>
    <x v="27"/>
    <x v="0"/>
    <s v="RasGhanada"/>
    <s v="t1"/>
    <s v="ras15_t1"/>
    <n v="0.71599999999999997"/>
    <x v="105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1"/>
    <b v="1"/>
  </r>
  <r>
    <x v="27"/>
    <x v="0"/>
    <s v="RasGhanada"/>
    <s v="t2"/>
    <s v="ras15_t2"/>
    <n v="0.98599999999999999"/>
    <x v="188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1"/>
    <b v="1"/>
  </r>
  <r>
    <x v="27"/>
    <x v="1"/>
    <s v="RasGhanada"/>
    <s v="t2"/>
    <s v="ras15_t2"/>
    <n v="0.66300000000000003"/>
    <x v="92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"/>
    <b v="1"/>
  </r>
  <r>
    <x v="27"/>
    <x v="1"/>
    <s v="RasGhanada"/>
    <s v="t1"/>
    <s v="ras15_t1"/>
    <n v="0.52600000000000002"/>
    <x v="110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1"/>
    <b v="1"/>
  </r>
  <r>
    <x v="27"/>
    <x v="2"/>
    <s v="RasGhanada"/>
    <s v="t1"/>
    <s v="ras15_t1"/>
    <n v="0.58499999999999996"/>
    <x v="35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"/>
    <b v="1"/>
  </r>
  <r>
    <x v="27"/>
    <x v="2"/>
    <s v="RasGhanada"/>
    <s v="t2"/>
    <s v="ras15_t2"/>
    <n v="0.246"/>
    <x v="233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1"/>
    <b v="1"/>
  </r>
  <r>
    <x v="27"/>
    <x v="3"/>
    <s v="RasGhanada"/>
    <s v="t2"/>
    <s v="ras15_t2"/>
    <n v="0.98899999999999999"/>
    <x v="10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"/>
    <b v="1"/>
  </r>
  <r>
    <x v="27"/>
    <x v="3"/>
    <s v="RasGhanada"/>
    <s v="t1"/>
    <s v="ras15_t1"/>
    <n v="0.55500000000000005"/>
    <x v="49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1"/>
    <b v="1"/>
  </r>
  <r>
    <x v="27"/>
    <x v="4"/>
    <s v="RasGhanada"/>
    <s v="t2"/>
    <s v="ras15_t2"/>
    <n v="0.754"/>
    <x v="73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"/>
    <b v="1"/>
  </r>
  <r>
    <x v="27"/>
    <x v="4"/>
    <s v="RasGhanada"/>
    <s v="t1"/>
    <s v="ras15_t1"/>
    <n v="0.88400000000000001"/>
    <x v="184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1"/>
    <b v="1"/>
  </r>
  <r>
    <x v="27"/>
    <x v="5"/>
    <s v="RasGhanada"/>
    <s v="t1"/>
    <s v="ras15_t1"/>
    <n v="1.327"/>
    <x v="19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"/>
    <b v="1"/>
  </r>
  <r>
    <x v="27"/>
    <x v="5"/>
    <s v="RasGhanada"/>
    <s v="t2"/>
    <s v="ras15_t2"/>
    <n v="0.69199999999999995"/>
    <x v="234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1"/>
    <b v="1"/>
  </r>
  <r>
    <x v="27"/>
    <x v="6"/>
    <s v="RasGhanada"/>
    <s v="t1"/>
    <s v="ras15_t1"/>
    <n v="0.54800000000000004"/>
    <x v="166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"/>
    <b v="1"/>
  </r>
  <r>
    <x v="27"/>
    <x v="6"/>
    <s v="RasGhanada"/>
    <s v="t2"/>
    <s v="ras15_t2"/>
    <n v="0.69199999999999995"/>
    <x v="235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1"/>
    <b v="1"/>
  </r>
  <r>
    <x v="27"/>
    <x v="7"/>
    <s v="RasGhanada"/>
    <s v="t2"/>
    <s v="ras15_t2"/>
    <n v="0.60399999999999998"/>
    <x v="49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"/>
    <b v="1"/>
  </r>
  <r>
    <x v="27"/>
    <x v="7"/>
    <s v="RasGhanada"/>
    <s v="t1"/>
    <s v="ras15_t1"/>
    <n v="0.57799999999999996"/>
    <x v="236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1"/>
    <b v="1"/>
  </r>
  <r>
    <x v="27"/>
    <x v="8"/>
    <s v="RasGhanada"/>
    <s v="t1"/>
    <s v="ras15_t1"/>
    <n v="0.36499999999999999"/>
    <x v="237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"/>
    <b v="1"/>
  </r>
  <r>
    <x v="27"/>
    <x v="8"/>
    <s v="RasGhanada"/>
    <s v="t2"/>
    <s v="ras15_t2"/>
    <n v="0.67900000000000005"/>
    <x v="238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1"/>
    <b v="1"/>
  </r>
  <r>
    <x v="28"/>
    <x v="10"/>
    <s v="RasGhanada"/>
    <s v="t2"/>
    <s v="ras16_t2"/>
    <n v="1.1020000000000001"/>
    <x v="239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0"/>
    <b v="1"/>
  </r>
  <r>
    <x v="28"/>
    <x v="10"/>
    <s v="RasGhanada"/>
    <s v="t1"/>
    <s v="ras16_t1"/>
    <n v="0.30099999999999999"/>
    <x v="240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0"/>
    <b v="1"/>
  </r>
  <r>
    <x v="28"/>
    <x v="11"/>
    <s v="RasGhanada"/>
    <s v="t2"/>
    <s v="ras16_t2"/>
    <n v="0.72"/>
    <x v="18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0"/>
    <b v="1"/>
  </r>
  <r>
    <x v="28"/>
    <x v="11"/>
    <s v="RasGhanada"/>
    <s v="t1"/>
    <s v="ras16_t1"/>
    <n v="0.53300000000000003"/>
    <x v="168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0"/>
    <b v="1"/>
  </r>
  <r>
    <x v="28"/>
    <x v="0"/>
    <s v="RasGhanada"/>
    <s v="t1"/>
    <s v="ras16_t1"/>
    <n v="0.753"/>
    <x v="51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0"/>
    <b v="1"/>
  </r>
  <r>
    <x v="28"/>
    <x v="0"/>
    <s v="RasGhanada"/>
    <s v="t2"/>
    <s v="ras16_t2"/>
    <n v="0.60399999999999998"/>
    <x v="92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0"/>
    <b v="1"/>
  </r>
  <r>
    <x v="28"/>
    <x v="1"/>
    <s v="RasGhanada"/>
    <s v="t2"/>
    <s v="ras16_t2"/>
    <n v="1.0309999999999999"/>
    <x v="27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0"/>
    <b v="1"/>
  </r>
  <r>
    <x v="28"/>
    <x v="1"/>
    <s v="RasGhanada"/>
    <s v="t1"/>
    <s v="ras16_t1"/>
    <n v="0.626"/>
    <x v="50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0"/>
    <b v="1"/>
  </r>
  <r>
    <x v="28"/>
    <x v="2"/>
    <s v="RasGhanada"/>
    <s v="t2"/>
    <s v="ras16_t2"/>
    <n v="0.92200000000000004"/>
    <x v="16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0"/>
    <b v="1"/>
  </r>
  <r>
    <x v="28"/>
    <x v="2"/>
    <s v="RasGhanada"/>
    <s v="t1"/>
    <s v="ras16_t1"/>
    <n v="0.45400000000000001"/>
    <x v="130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0"/>
    <b v="1"/>
  </r>
  <r>
    <x v="28"/>
    <x v="3"/>
    <s v="RasGhanada"/>
    <s v="t1"/>
    <s v="ras16_t1"/>
    <n v="0.51300000000000001"/>
    <x v="174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0"/>
    <b v="1"/>
  </r>
  <r>
    <x v="28"/>
    <x v="3"/>
    <s v="RasGhanada"/>
    <s v="t2"/>
    <s v="ras16_t2"/>
    <n v="0.313"/>
    <x v="24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0"/>
    <b v="1"/>
  </r>
  <r>
    <x v="28"/>
    <x v="4"/>
    <s v="RasGhanada"/>
    <s v="t1"/>
    <s v="ras16_t1"/>
    <n v="0.54"/>
    <x v="177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0"/>
    <b v="1"/>
  </r>
  <r>
    <x v="28"/>
    <x v="4"/>
    <s v="RasGhanada"/>
    <s v="t2"/>
    <s v="ras16_t2"/>
    <n v="0.56000000000000005"/>
    <x v="36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0"/>
    <b v="1"/>
  </r>
  <r>
    <x v="28"/>
    <x v="5"/>
    <s v="RasGhanada"/>
    <s v="t1"/>
    <s v="ras16_t1"/>
    <n v="0.875"/>
    <x v="38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0"/>
    <b v="1"/>
  </r>
  <r>
    <x v="28"/>
    <x v="5"/>
    <s v="RasGhanada"/>
    <s v="t2"/>
    <s v="ras16_t2"/>
    <n v="0.73599999999999999"/>
    <x v="227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0"/>
    <b v="1"/>
  </r>
  <r>
    <x v="28"/>
    <x v="6"/>
    <s v="RasGhanada"/>
    <s v="t2"/>
    <s v="ras16_t2"/>
    <n v="0.872"/>
    <x v="199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0"/>
    <b v="1"/>
  </r>
  <r>
    <x v="28"/>
    <x v="6"/>
    <s v="RasGhanada"/>
    <s v="t1"/>
    <s v="ras16_t1"/>
    <n v="0.67600000000000005"/>
    <x v="116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0"/>
    <b v="1"/>
  </r>
  <r>
    <x v="28"/>
    <x v="7"/>
    <s v="RasGhanada"/>
    <s v="t2"/>
    <s v="ras16_t2"/>
    <n v="0.73899999999999999"/>
    <x v="20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0"/>
    <b v="1"/>
  </r>
  <r>
    <x v="28"/>
    <x v="7"/>
    <s v="RasGhanada"/>
    <s v="t1"/>
    <s v="ras16_t1"/>
    <n v="0.65100000000000002"/>
    <x v="54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0"/>
    <b v="1"/>
  </r>
  <r>
    <x v="28"/>
    <x v="8"/>
    <s v="RasGhanada"/>
    <s v="t2"/>
    <s v="ras16_t2"/>
    <n v="0.318"/>
    <x v="129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0"/>
    <b v="1"/>
  </r>
  <r>
    <x v="28"/>
    <x v="8"/>
    <s v="RasGhanada"/>
    <s v="t1"/>
    <s v="ras16_t1"/>
    <n v="0.60399999999999998"/>
    <x v="9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0"/>
    <b v="1"/>
  </r>
  <r>
    <x v="29"/>
    <x v="10"/>
    <s v="RasGhanada"/>
    <s v="t1"/>
    <s v="ras21_t1"/>
    <n v="0.71799999999999997"/>
    <x v="150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x v="3"/>
    <b v="1"/>
  </r>
  <r>
    <x v="29"/>
    <x v="11"/>
    <s v="RasGhanada"/>
    <s v="t2"/>
    <s v="ras21_t2"/>
    <n v="0.45400000000000001"/>
    <x v="5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3"/>
    <b v="1"/>
  </r>
  <r>
    <x v="29"/>
    <x v="11"/>
    <s v="RasGhanada"/>
    <s v="t1"/>
    <s v="ras21_t1"/>
    <n v="0.623"/>
    <x v="67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x v="3"/>
    <b v="1"/>
  </r>
  <r>
    <x v="29"/>
    <x v="0"/>
    <s v="RasGhanada"/>
    <s v="t2"/>
    <s v="ras21_t2"/>
    <n v="0.627"/>
    <x v="136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3"/>
    <b v="1"/>
  </r>
  <r>
    <x v="29"/>
    <x v="0"/>
    <s v="RasGhanada"/>
    <s v="t1"/>
    <s v="ras21_t1"/>
    <n v="0.442"/>
    <x v="242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x v="3"/>
    <b v="1"/>
  </r>
  <r>
    <x v="29"/>
    <x v="1"/>
    <s v="RasGhanada"/>
    <s v="t1"/>
    <s v="ras21_t1"/>
    <n v="0.49399999999999999"/>
    <x v="95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3"/>
    <b v="1"/>
  </r>
  <r>
    <x v="29"/>
    <x v="1"/>
    <s v="RasGhanada"/>
    <s v="t2"/>
    <s v="ras21_t2"/>
    <n v="0.47"/>
    <x v="150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x v="3"/>
    <b v="1"/>
  </r>
  <r>
    <x v="29"/>
    <x v="2"/>
    <s v="RasGhanada"/>
    <s v="t1"/>
    <s v="ras21_t1"/>
    <n v="0.47699999999999998"/>
    <x v="47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3"/>
    <b v="1"/>
  </r>
  <r>
    <x v="29"/>
    <x v="2"/>
    <s v="RasGhanada"/>
    <s v="t2"/>
    <s v="ras21_t2"/>
    <n v="0.53400000000000003"/>
    <x v="21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x v="3"/>
    <b v="1"/>
  </r>
  <r>
    <x v="29"/>
    <x v="3"/>
    <s v="RasGhanada"/>
    <s v="t1"/>
    <s v="ras21_t1"/>
    <n v="0.873"/>
    <x v="12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3"/>
    <b v="1"/>
  </r>
  <r>
    <x v="29"/>
    <x v="3"/>
    <s v="RasGhanada"/>
    <s v="t2"/>
    <s v="ras21_t2"/>
    <n v="0.52200000000000002"/>
    <x v="7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x v="3"/>
    <b v="1"/>
  </r>
  <r>
    <x v="29"/>
    <x v="4"/>
    <s v="RasGhanada"/>
    <s v="t1"/>
    <s v="ras21_t1"/>
    <n v="0.31900000000000001"/>
    <x v="130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3"/>
    <b v="1"/>
  </r>
  <r>
    <x v="29"/>
    <x v="4"/>
    <s v="RasGhanada"/>
    <s v="t2"/>
    <s v="ras21_t2"/>
    <n v="0.60399999999999998"/>
    <x v="45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x v="3"/>
    <b v="1"/>
  </r>
  <r>
    <x v="29"/>
    <x v="5"/>
    <s v="RasGhanada"/>
    <s v="t2"/>
    <s v="ras21_t2"/>
    <n v="0.501"/>
    <x v="110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3"/>
    <b v="1"/>
  </r>
  <r>
    <x v="29"/>
    <x v="5"/>
    <s v="RasGhanada"/>
    <s v="t1"/>
    <s v="ras21_t1"/>
    <n v="0.49299999999999999"/>
    <x v="234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x v="3"/>
    <b v="1"/>
  </r>
  <r>
    <x v="29"/>
    <x v="6"/>
    <s v="RasGhanada"/>
    <s v="t2"/>
    <s v="ras21_t2"/>
    <n v="0.45800000000000002"/>
    <x v="99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3"/>
    <b v="1"/>
  </r>
  <r>
    <x v="29"/>
    <x v="6"/>
    <s v="RasGhanada"/>
    <s v="t1"/>
    <s v="ras21_t1"/>
    <n v="0.38800000000000001"/>
    <x v="215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x v="3"/>
    <b v="1"/>
  </r>
  <r>
    <x v="29"/>
    <x v="7"/>
    <s v="RasGhanada"/>
    <s v="t1"/>
    <s v="ras21_t1"/>
    <n v="0.49399999999999999"/>
    <x v="90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3"/>
    <b v="1"/>
  </r>
  <r>
    <x v="29"/>
    <x v="7"/>
    <s v="RasGhanada"/>
    <s v="t2"/>
    <s v="ras21_t2"/>
    <n v="0.54500000000000004"/>
    <x v="158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x v="3"/>
    <b v="1"/>
  </r>
  <r>
    <x v="29"/>
    <x v="8"/>
    <s v="RasGhanada"/>
    <s v="t2"/>
    <s v="ras21_t2"/>
    <n v="0.53400000000000003"/>
    <x v="157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3"/>
    <b v="1"/>
  </r>
  <r>
    <x v="29"/>
    <x v="8"/>
    <s v="RasGhanada"/>
    <s v="t1"/>
    <s v="ras21_t1"/>
    <n v="0.73799999999999999"/>
    <x v="173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x v="3"/>
    <b v="1"/>
  </r>
  <r>
    <x v="30"/>
    <x v="10"/>
    <s v="Saadiyat"/>
    <s v="t2"/>
    <s v="sad05_t2"/>
    <n v="1.1439999999999999"/>
    <x v="79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13"/>
    <b v="1"/>
  </r>
  <r>
    <x v="30"/>
    <x v="10"/>
    <s v="Saadiyat"/>
    <s v="t1"/>
    <s v="sad05_t1"/>
    <n v="1.393"/>
    <x v="243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13"/>
    <b v="1"/>
  </r>
  <r>
    <x v="30"/>
    <x v="11"/>
    <s v="Saadiyat"/>
    <s v="t1"/>
    <s v="sad05_t1"/>
    <n v="1.2090000000000001"/>
    <x v="34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13"/>
    <b v="1"/>
  </r>
  <r>
    <x v="30"/>
    <x v="11"/>
    <s v="Saadiyat"/>
    <s v="t2"/>
    <s v="sad05_t2"/>
    <n v="1.089"/>
    <x v="244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13"/>
    <b v="1"/>
  </r>
  <r>
    <x v="30"/>
    <x v="0"/>
    <s v="Saadiyat"/>
    <s v="t2"/>
    <s v="sad05_t2"/>
    <n v="0.67500000000000004"/>
    <x v="245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13"/>
    <b v="1"/>
  </r>
  <r>
    <x v="30"/>
    <x v="0"/>
    <s v="Saadiyat"/>
    <s v="t1"/>
    <s v="sad05_t1"/>
    <n v="1.0840000000000001"/>
    <x v="116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13"/>
    <b v="1"/>
  </r>
  <r>
    <x v="30"/>
    <x v="1"/>
    <s v="Saadiyat"/>
    <s v="t2"/>
    <s v="sad05_t2"/>
    <n v="0.60799999999999998"/>
    <x v="246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13"/>
    <b v="1"/>
  </r>
  <r>
    <x v="30"/>
    <x v="1"/>
    <s v="Saadiyat"/>
    <s v="t1"/>
    <s v="sad05_t1"/>
    <n v="1.1279999999999999"/>
    <x v="39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13"/>
    <b v="1"/>
  </r>
  <r>
    <x v="30"/>
    <x v="2"/>
    <s v="Saadiyat"/>
    <s v="t1"/>
    <s v="sad05_t1"/>
    <n v="1.1419999999999999"/>
    <x v="51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13"/>
    <b v="1"/>
  </r>
  <r>
    <x v="30"/>
    <x v="2"/>
    <s v="Saadiyat"/>
    <s v="t2"/>
    <s v="sad05_t2"/>
    <n v="0.72199999999999998"/>
    <x v="247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13"/>
    <b v="1"/>
  </r>
  <r>
    <x v="30"/>
    <x v="3"/>
    <s v="Saadiyat"/>
    <s v="t1"/>
    <s v="sad05_t1"/>
    <n v="1.2030000000000001"/>
    <x v="248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13"/>
    <b v="1"/>
  </r>
  <r>
    <x v="30"/>
    <x v="3"/>
    <s v="Saadiyat"/>
    <s v="t2"/>
    <s v="sad05_t2"/>
    <n v="0.752"/>
    <x v="249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13"/>
    <b v="1"/>
  </r>
  <r>
    <x v="30"/>
    <x v="4"/>
    <s v="Saadiyat"/>
    <s v="t1"/>
    <s v="sad05_t1"/>
    <n v="1.2729999999999999"/>
    <x v="250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13"/>
    <b v="1"/>
  </r>
  <r>
    <x v="30"/>
    <x v="4"/>
    <s v="Saadiyat"/>
    <s v="t2"/>
    <s v="sad05_t2"/>
    <n v="0.92400000000000004"/>
    <x v="251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13"/>
    <b v="1"/>
  </r>
  <r>
    <x v="30"/>
    <x v="5"/>
    <s v="Saadiyat"/>
    <s v="t1"/>
    <s v="sad05_t1"/>
    <n v="1.262"/>
    <x v="33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3"/>
    <b v="1"/>
  </r>
  <r>
    <x v="30"/>
    <x v="5"/>
    <s v="Saadiyat"/>
    <s v="t2"/>
    <s v="sad05_t2"/>
    <n v="0.68899999999999995"/>
    <x v="252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3"/>
    <b v="1"/>
  </r>
  <r>
    <x v="30"/>
    <x v="6"/>
    <s v="Saadiyat"/>
    <s v="t2"/>
    <s v="sad05_t2"/>
    <n v="0.82"/>
    <x v="253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3"/>
    <b v="1"/>
  </r>
  <r>
    <x v="30"/>
    <x v="6"/>
    <s v="Saadiyat"/>
    <s v="t1"/>
    <s v="sad05_t1"/>
    <n v="1.3959999999999999"/>
    <x v="12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3"/>
    <b v="1"/>
  </r>
  <r>
    <x v="30"/>
    <x v="7"/>
    <s v="Saadiyat"/>
    <s v="t1"/>
    <s v="sad05_t1"/>
    <n v="1.458"/>
    <x v="6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3"/>
    <b v="1"/>
  </r>
  <r>
    <x v="30"/>
    <x v="7"/>
    <s v="Saadiyat"/>
    <s v="t2"/>
    <s v="sad05_t2"/>
    <n v="0.99"/>
    <x v="109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3"/>
    <b v="1"/>
  </r>
  <r>
    <x v="30"/>
    <x v="8"/>
    <s v="Saadiyat"/>
    <s v="t2"/>
    <s v="sad05_t2"/>
    <n v="0.68600000000000005"/>
    <x v="254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3"/>
    <b v="1"/>
  </r>
  <r>
    <x v="30"/>
    <x v="8"/>
    <s v="Saadiyat"/>
    <s v="t1"/>
    <s v="sad05_t1"/>
    <n v="1.6539999999999999"/>
    <x v="224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3"/>
    <b v="1"/>
  </r>
  <r>
    <x v="31"/>
    <x v="9"/>
    <s v="Saadiyat"/>
    <s v="t2"/>
    <s v="sad07_t2"/>
    <n v="1.08"/>
    <x v="6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6"/>
    <b v="1"/>
  </r>
  <r>
    <x v="31"/>
    <x v="10"/>
    <s v="Saadiyat"/>
    <s v="t1"/>
    <s v="sad07_t1"/>
    <n v="1.0840000000000001"/>
    <x v="255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6"/>
    <b v="1"/>
  </r>
  <r>
    <x v="31"/>
    <x v="10"/>
    <s v="Saadiyat"/>
    <s v="t2"/>
    <s v="sad07_t2"/>
    <n v="1.3109999999999999"/>
    <x v="43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6"/>
    <b v="1"/>
  </r>
  <r>
    <x v="31"/>
    <x v="11"/>
    <s v="Saadiyat"/>
    <s v="t2"/>
    <s v="sad07_t2"/>
    <n v="1.0589999999999999"/>
    <x v="183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6"/>
    <b v="1"/>
  </r>
  <r>
    <x v="31"/>
    <x v="11"/>
    <s v="Saadiyat"/>
    <s v="t1"/>
    <s v="sad07_t1"/>
    <n v="0.83399999999999996"/>
    <x v="92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6"/>
    <b v="1"/>
  </r>
  <r>
    <x v="31"/>
    <x v="0"/>
    <s v="Saadiyat"/>
    <s v="t2"/>
    <s v="sad07_t2"/>
    <n v="1.6160000000000001"/>
    <x v="256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6"/>
    <b v="1"/>
  </r>
  <r>
    <x v="31"/>
    <x v="0"/>
    <s v="Saadiyat"/>
    <s v="t1"/>
    <s v="sad07_t1"/>
    <n v="1.6180000000000001"/>
    <x v="257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6"/>
    <b v="1"/>
  </r>
  <r>
    <x v="31"/>
    <x v="1"/>
    <s v="Saadiyat"/>
    <s v="t1"/>
    <s v="sad07_t1"/>
    <n v="1.421"/>
    <x v="258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6"/>
    <b v="1"/>
  </r>
  <r>
    <x v="31"/>
    <x v="1"/>
    <s v="Saadiyat"/>
    <s v="t2"/>
    <s v="sad07_t2"/>
    <n v="1.052"/>
    <x v="12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6"/>
    <b v="1"/>
  </r>
  <r>
    <x v="31"/>
    <x v="2"/>
    <s v="Saadiyat"/>
    <s v="t2"/>
    <s v="sad07_t2"/>
    <n v="1.1060000000000001"/>
    <x v="13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6"/>
    <b v="1"/>
  </r>
  <r>
    <x v="31"/>
    <x v="2"/>
    <s v="Saadiyat"/>
    <s v="t1"/>
    <s v="sad07_t1"/>
    <n v="1.593"/>
    <x v="58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6"/>
    <b v="1"/>
  </r>
  <r>
    <x v="31"/>
    <x v="3"/>
    <s v="Saadiyat"/>
    <s v="t2"/>
    <s v="sad07_t2"/>
    <n v="1.1539999999999999"/>
    <x v="6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6"/>
    <b v="1"/>
  </r>
  <r>
    <x v="31"/>
    <x v="3"/>
    <s v="Saadiyat"/>
    <s v="t1"/>
    <s v="sad07_t1"/>
    <n v="1.024"/>
    <x v="200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6"/>
    <b v="1"/>
  </r>
  <r>
    <x v="31"/>
    <x v="4"/>
    <s v="Saadiyat"/>
    <s v="t1"/>
    <s v="sad07_t1"/>
    <n v="0.95399999999999996"/>
    <x v="212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6"/>
    <b v="1"/>
  </r>
  <r>
    <x v="31"/>
    <x v="4"/>
    <s v="Saadiyat"/>
    <s v="t2"/>
    <s v="sad07_t2"/>
    <n v="0.81299999999999994"/>
    <x v="50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6"/>
    <b v="1"/>
  </r>
  <r>
    <x v="31"/>
    <x v="5"/>
    <s v="Saadiyat"/>
    <s v="t1"/>
    <s v="sad07_t1"/>
    <n v="1.4610000000000001"/>
    <x v="204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6"/>
    <b v="1"/>
  </r>
  <r>
    <x v="31"/>
    <x v="5"/>
    <s v="Saadiyat"/>
    <s v="t2"/>
    <s v="sad07_t2"/>
    <n v="0.83899999999999997"/>
    <x v="71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6"/>
    <b v="1"/>
  </r>
  <r>
    <x v="31"/>
    <x v="6"/>
    <s v="Saadiyat"/>
    <s v="t2"/>
    <s v="sad07_t2"/>
    <n v="0.81100000000000005"/>
    <x v="156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6"/>
    <b v="1"/>
  </r>
  <r>
    <x v="31"/>
    <x v="6"/>
    <s v="Saadiyat"/>
    <s v="t1"/>
    <s v="sad07_t1"/>
    <n v="1.1930000000000001"/>
    <x v="164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6"/>
    <b v="1"/>
  </r>
  <r>
    <x v="31"/>
    <x v="7"/>
    <s v="Saadiyat"/>
    <s v="t2"/>
    <s v="sad07_t2"/>
    <n v="1.016"/>
    <x v="199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6"/>
    <b v="1"/>
  </r>
  <r>
    <x v="31"/>
    <x v="7"/>
    <s v="Saadiyat"/>
    <s v="t1"/>
    <s v="sad07_t1"/>
    <n v="1.1140000000000001"/>
    <x v="14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6"/>
    <b v="1"/>
  </r>
  <r>
    <x v="31"/>
    <x v="8"/>
    <s v="Saadiyat"/>
    <s v="t2"/>
    <s v="sad07_t2"/>
    <n v="0.95599999999999996"/>
    <x v="43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6"/>
    <b v="1"/>
  </r>
  <r>
    <x v="31"/>
    <x v="8"/>
    <s v="Saadiyat"/>
    <s v="t1"/>
    <s v="sad07_t1"/>
    <n v="1.3140000000000001"/>
    <x v="259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6"/>
    <b v="1"/>
  </r>
  <r>
    <x v="32"/>
    <x v="13"/>
    <s v="Saadiyat"/>
    <s v="t1"/>
    <s v="sad08_t1"/>
    <n v="0.751"/>
    <x v="260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x v="13"/>
    <b v="1"/>
  </r>
  <r>
    <x v="32"/>
    <x v="13"/>
    <s v="Saadiyat"/>
    <s v="t2"/>
    <s v="sad08_t2"/>
    <n v="1.4039999999999999"/>
    <x v="261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x v="13"/>
    <b v="1"/>
  </r>
  <r>
    <x v="32"/>
    <x v="9"/>
    <s v="Saadiyat"/>
    <s v="t1"/>
    <s v="sad08_t1"/>
    <n v="0.745"/>
    <x v="65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13"/>
    <b v="1"/>
  </r>
  <r>
    <x v="32"/>
    <x v="9"/>
    <s v="Saadiyat"/>
    <s v="t2"/>
    <s v="sad08_t2"/>
    <n v="0.498"/>
    <x v="262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13"/>
    <b v="1"/>
  </r>
  <r>
    <x v="32"/>
    <x v="10"/>
    <s v="Saadiyat"/>
    <s v="t2"/>
    <s v="sad08_t2"/>
    <n v="0.29599999999999999"/>
    <x v="95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13"/>
    <b v="1"/>
  </r>
  <r>
    <x v="32"/>
    <x v="10"/>
    <s v="Saadiyat"/>
    <s v="t1"/>
    <s v="sad08_t1"/>
    <n v="0.84"/>
    <x v="263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13"/>
    <b v="1"/>
  </r>
  <r>
    <x v="32"/>
    <x v="11"/>
    <s v="Saadiyat"/>
    <s v="t1"/>
    <s v="sad08_t1"/>
    <n v="1.1259999999999999"/>
    <x v="264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13"/>
    <b v="1"/>
  </r>
  <r>
    <x v="32"/>
    <x v="11"/>
    <s v="Saadiyat"/>
    <s v="t2"/>
    <s v="sad08_t2"/>
    <n v="0.47899999999999998"/>
    <x v="265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13"/>
    <b v="1"/>
  </r>
  <r>
    <x v="32"/>
    <x v="0"/>
    <s v="Saadiyat"/>
    <s v="t2"/>
    <s v="sad08_t2"/>
    <n v="1.1379999999999999"/>
    <x v="266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13"/>
    <b v="1"/>
  </r>
  <r>
    <x v="32"/>
    <x v="0"/>
    <s v="Saadiyat"/>
    <s v="t1"/>
    <s v="sad08_t1"/>
    <n v="1.04"/>
    <x v="267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13"/>
    <b v="1"/>
  </r>
  <r>
    <x v="32"/>
    <x v="1"/>
    <s v="Saadiyat"/>
    <s v="t1"/>
    <s v="sad08_t1"/>
    <n v="1.2529999999999999"/>
    <x v="268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13"/>
    <b v="1"/>
  </r>
  <r>
    <x v="32"/>
    <x v="1"/>
    <s v="Saadiyat"/>
    <s v="t2"/>
    <s v="sad08_t2"/>
    <n v="0.56699999999999995"/>
    <x v="269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13"/>
    <b v="1"/>
  </r>
  <r>
    <x v="32"/>
    <x v="2"/>
    <s v="Saadiyat"/>
    <s v="t2"/>
    <s v="sad08_t2"/>
    <n v="0.16500000000000001"/>
    <x v="160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13"/>
    <b v="1"/>
  </r>
  <r>
    <x v="32"/>
    <x v="2"/>
    <s v="Saadiyat"/>
    <s v="t1"/>
    <s v="sad08_t1"/>
    <n v="0.81499999999999995"/>
    <x v="270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13"/>
    <b v="1"/>
  </r>
  <r>
    <x v="32"/>
    <x v="3"/>
    <s v="Saadiyat"/>
    <s v="t2"/>
    <s v="sad08_t2"/>
    <n v="0.40699999999999997"/>
    <x v="125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13"/>
    <b v="1"/>
  </r>
  <r>
    <x v="32"/>
    <x v="3"/>
    <s v="Saadiyat"/>
    <s v="t1"/>
    <s v="sad08_t1"/>
    <n v="0.78800000000000003"/>
    <x v="271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13"/>
    <b v="1"/>
  </r>
  <r>
    <x v="32"/>
    <x v="4"/>
    <s v="Saadiyat"/>
    <s v="t2"/>
    <s v="sad08_t2"/>
    <n v="0.63"/>
    <x v="27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13"/>
    <b v="1"/>
  </r>
  <r>
    <x v="32"/>
    <x v="4"/>
    <s v="Saadiyat"/>
    <s v="t1"/>
    <s v="sad08_t1"/>
    <n v="0.81799999999999995"/>
    <x v="245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13"/>
    <b v="1"/>
  </r>
  <r>
    <x v="32"/>
    <x v="5"/>
    <s v="Saadiyat"/>
    <s v="t2"/>
    <s v="sad08_t2"/>
    <n v="0.30499999999999999"/>
    <x v="92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3"/>
    <b v="1"/>
  </r>
  <r>
    <x v="32"/>
    <x v="5"/>
    <s v="Saadiyat"/>
    <s v="t1"/>
    <s v="sad08_t1"/>
    <n v="1.0920000000000001"/>
    <x v="106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3"/>
    <b v="1"/>
  </r>
  <r>
    <x v="32"/>
    <x v="6"/>
    <s v="Saadiyat"/>
    <s v="t2"/>
    <s v="sad08_t2"/>
    <n v="0.51900000000000002"/>
    <x v="0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3"/>
    <b v="1"/>
  </r>
  <r>
    <x v="32"/>
    <x v="6"/>
    <s v="Saadiyat"/>
    <s v="t1"/>
    <s v="sad08_t1"/>
    <n v="0.56100000000000005"/>
    <x v="272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3"/>
    <b v="1"/>
  </r>
  <r>
    <x v="32"/>
    <x v="7"/>
    <s v="Saadiyat"/>
    <s v="t2"/>
    <s v="sad08_t2"/>
    <n v="0.224"/>
    <x v="90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3"/>
    <b v="1"/>
  </r>
  <r>
    <x v="32"/>
    <x v="7"/>
    <s v="Saadiyat"/>
    <s v="t1"/>
    <s v="sad08_t1"/>
    <n v="0.86199999999999999"/>
    <x v="273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3"/>
    <b v="1"/>
  </r>
  <r>
    <x v="32"/>
    <x v="8"/>
    <s v="Saadiyat"/>
    <s v="t2"/>
    <s v="sad08_t2"/>
    <n v="0.38300000000000001"/>
    <x v="65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3"/>
    <b v="1"/>
  </r>
  <r>
    <x v="32"/>
    <x v="8"/>
    <s v="Saadiyat"/>
    <s v="t1"/>
    <s v="sad08_t1"/>
    <n v="0.68100000000000005"/>
    <x v="25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3"/>
    <b v="1"/>
  </r>
  <r>
    <x v="33"/>
    <x v="12"/>
    <s v="Saadiyat"/>
    <s v="t1"/>
    <s v="sad12_t1"/>
    <n v="1.079"/>
    <x v="30"/>
    <n v="33.608032786885197"/>
    <n v="20.774754098360699"/>
    <n v="0.64039989214390403"/>
    <n v="0.12020405811417099"/>
    <n v="0.45321010459510203"/>
    <n v="-3.6764538831954602E-2"/>
    <n v="0.122245901639344"/>
    <n v="7.1671160108211104E-2"/>
    <n v="0.122065573770492"/>
    <n v="2.54393847229442E-2"/>
    <n v="42"/>
    <n v="290"/>
    <s v="gulf"/>
    <x v="8"/>
    <b v="1"/>
  </r>
  <r>
    <x v="33"/>
    <x v="13"/>
    <s v="Saadiyat"/>
    <s v="t1"/>
    <s v="sad12_t1"/>
    <n v="1.175"/>
    <x v="255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x v="8"/>
    <b v="1"/>
  </r>
  <r>
    <x v="33"/>
    <x v="9"/>
    <s v="Saadiyat"/>
    <s v="t1"/>
    <s v="sad12_t1"/>
    <n v="0.67700000000000005"/>
    <x v="90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8"/>
    <b v="1"/>
  </r>
  <r>
    <x v="33"/>
    <x v="10"/>
    <s v="Saadiyat"/>
    <s v="t1"/>
    <s v="sad12_t1"/>
    <n v="0.57399999999999995"/>
    <x v="242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8"/>
    <b v="1"/>
  </r>
  <r>
    <x v="33"/>
    <x v="11"/>
    <s v="Saadiyat"/>
    <s v="t1"/>
    <s v="sad12_t1"/>
    <n v="0.48699999999999999"/>
    <x v="100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8"/>
    <b v="1"/>
  </r>
  <r>
    <x v="33"/>
    <x v="0"/>
    <s v="Saadiyat"/>
    <s v="t1"/>
    <s v="sad12_t1"/>
    <n v="0.54700000000000004"/>
    <x v="44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8"/>
    <b v="1"/>
  </r>
  <r>
    <x v="33"/>
    <x v="1"/>
    <s v="Saadiyat"/>
    <s v="t2"/>
    <s v="sad12_t2"/>
    <n v="1.5529999999999999"/>
    <x v="18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8"/>
    <b v="1"/>
  </r>
  <r>
    <x v="33"/>
    <x v="1"/>
    <s v="Saadiyat"/>
    <s v="t1"/>
    <s v="sad12_t1"/>
    <n v="0.64900000000000002"/>
    <x v="2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8"/>
    <b v="1"/>
  </r>
  <r>
    <x v="33"/>
    <x v="2"/>
    <s v="Saadiyat"/>
    <s v="t2"/>
    <s v="sad12_t2"/>
    <n v="0.61399999999999999"/>
    <x v="30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8"/>
    <b v="1"/>
  </r>
  <r>
    <x v="33"/>
    <x v="2"/>
    <s v="Saadiyat"/>
    <s v="t1"/>
    <s v="sad12_t1"/>
    <n v="1.0569999999999999"/>
    <x v="56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8"/>
    <b v="1"/>
  </r>
  <r>
    <x v="33"/>
    <x v="3"/>
    <s v="Saadiyat"/>
    <s v="t1"/>
    <s v="sad12_t1"/>
    <n v="0.93100000000000005"/>
    <x v="85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8"/>
    <b v="1"/>
  </r>
  <r>
    <x v="33"/>
    <x v="3"/>
    <s v="Saadiyat"/>
    <s v="t2"/>
    <s v="sad12_t2"/>
    <n v="1.077"/>
    <x v="26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8"/>
    <b v="1"/>
  </r>
  <r>
    <x v="33"/>
    <x v="4"/>
    <s v="Saadiyat"/>
    <s v="t2"/>
    <s v="sad12_t2"/>
    <n v="0.97699999999999998"/>
    <x v="39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8"/>
    <b v="1"/>
  </r>
  <r>
    <x v="33"/>
    <x v="4"/>
    <s v="Saadiyat"/>
    <s v="t1"/>
    <s v="sad12_t1"/>
    <n v="0.61599999999999999"/>
    <x v="99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8"/>
    <b v="1"/>
  </r>
  <r>
    <x v="33"/>
    <x v="5"/>
    <s v="Saadiyat"/>
    <s v="t1"/>
    <s v="sad12_t1"/>
    <n v="1.61"/>
    <x v="274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8"/>
    <b v="1"/>
  </r>
  <r>
    <x v="33"/>
    <x v="5"/>
    <s v="Saadiyat"/>
    <s v="t2"/>
    <s v="sad12_t2"/>
    <n v="0.65400000000000003"/>
    <x v="92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8"/>
    <b v="1"/>
  </r>
  <r>
    <x v="33"/>
    <x v="6"/>
    <s v="Saadiyat"/>
    <s v="t1"/>
    <s v="sad12_t1"/>
    <n v="1.1060000000000001"/>
    <x v="204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8"/>
    <b v="1"/>
  </r>
  <r>
    <x v="33"/>
    <x v="6"/>
    <s v="Saadiyat"/>
    <s v="t2"/>
    <s v="sad12_t2"/>
    <n v="0.38100000000000001"/>
    <x v="275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8"/>
    <b v="1"/>
  </r>
  <r>
    <x v="33"/>
    <x v="7"/>
    <s v="Saadiyat"/>
    <s v="t1"/>
    <s v="sad12_t1"/>
    <n v="1.222"/>
    <x v="93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8"/>
    <b v="1"/>
  </r>
  <r>
    <x v="33"/>
    <x v="7"/>
    <s v="Saadiyat"/>
    <s v="t2"/>
    <s v="sad12_t2"/>
    <n v="1.0109999999999999"/>
    <x v="229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8"/>
    <b v="1"/>
  </r>
  <r>
    <x v="33"/>
    <x v="8"/>
    <s v="Saadiyat"/>
    <s v="t1"/>
    <s v="sad12_t1"/>
    <n v="0.82299999999999995"/>
    <x v="156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8"/>
    <b v="1"/>
  </r>
  <r>
    <x v="33"/>
    <x v="8"/>
    <s v="Saadiyat"/>
    <s v="t2"/>
    <s v="sad12_t2"/>
    <n v="0.628"/>
    <x v="44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8"/>
    <b v="1"/>
  </r>
  <r>
    <x v="34"/>
    <x v="9"/>
    <s v="Saadiyat"/>
    <s v="t2"/>
    <s v="sad13_t2"/>
    <n v="0.39"/>
    <x v="111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5"/>
    <b v="1"/>
  </r>
  <r>
    <x v="34"/>
    <x v="10"/>
    <s v="Saadiyat"/>
    <s v="t2"/>
    <s v="sad13_t2"/>
    <n v="0.42899999999999999"/>
    <x v="276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5"/>
    <b v="1"/>
  </r>
  <r>
    <x v="34"/>
    <x v="10"/>
    <s v="Saadiyat"/>
    <s v="t1"/>
    <s v="sad13_t1"/>
    <n v="0.33700000000000002"/>
    <x v="169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5"/>
    <b v="1"/>
  </r>
  <r>
    <x v="34"/>
    <x v="11"/>
    <s v="Saadiyat"/>
    <s v="t2"/>
    <s v="sad13_t2"/>
    <n v="0.64200000000000002"/>
    <x v="118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5"/>
    <b v="1"/>
  </r>
  <r>
    <x v="34"/>
    <x v="11"/>
    <s v="Saadiyat"/>
    <s v="t1"/>
    <s v="sad13_t1"/>
    <n v="0.53200000000000003"/>
    <x v="35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5"/>
    <b v="1"/>
  </r>
  <r>
    <x v="34"/>
    <x v="0"/>
    <s v="Saadiyat"/>
    <s v="t2"/>
    <s v="sad13_t2"/>
    <n v="0.76300000000000001"/>
    <x v="186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5"/>
    <b v="1"/>
  </r>
  <r>
    <x v="34"/>
    <x v="0"/>
    <s v="Saadiyat"/>
    <s v="t1"/>
    <s v="sad13_t1"/>
    <n v="0.64"/>
    <x v="156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5"/>
    <b v="1"/>
  </r>
  <r>
    <x v="34"/>
    <x v="1"/>
    <s v="Saadiyat"/>
    <s v="t2"/>
    <s v="sad13_t2"/>
    <n v="0.433"/>
    <x v="104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5"/>
    <b v="1"/>
  </r>
  <r>
    <x v="34"/>
    <x v="1"/>
    <s v="Saadiyat"/>
    <s v="t1"/>
    <s v="sad13_t1"/>
    <n v="0.621"/>
    <x v="158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5"/>
    <b v="1"/>
  </r>
  <r>
    <x v="34"/>
    <x v="2"/>
    <s v="Saadiyat"/>
    <s v="t1"/>
    <s v="sad13_t1"/>
    <n v="0.48299999999999998"/>
    <x v="127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5"/>
    <b v="1"/>
  </r>
  <r>
    <x v="34"/>
    <x v="2"/>
    <s v="Saadiyat"/>
    <s v="t2"/>
    <s v="sad13_t2"/>
    <n v="0.61"/>
    <x v="230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5"/>
    <b v="1"/>
  </r>
  <r>
    <x v="34"/>
    <x v="3"/>
    <s v="Saadiyat"/>
    <s v="t1"/>
    <s v="sad13_t1"/>
    <n v="0.49299999999999999"/>
    <x v="91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5"/>
    <b v="1"/>
  </r>
  <r>
    <x v="34"/>
    <x v="3"/>
    <s v="Saadiyat"/>
    <s v="t2"/>
    <s v="sad13_t2"/>
    <n v="0.33400000000000002"/>
    <x v="277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5"/>
    <b v="1"/>
  </r>
  <r>
    <x v="34"/>
    <x v="4"/>
    <s v="Saadiyat"/>
    <s v="t2"/>
    <s v="sad13_t2"/>
    <n v="0.69099999999999995"/>
    <x v="158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5"/>
    <b v="1"/>
  </r>
  <r>
    <x v="34"/>
    <x v="4"/>
    <s v="Saadiyat"/>
    <s v="t1"/>
    <s v="sad13_t1"/>
    <n v="0.46800000000000003"/>
    <x v="154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5"/>
    <b v="1"/>
  </r>
  <r>
    <x v="34"/>
    <x v="5"/>
    <s v="Saadiyat"/>
    <s v="t1"/>
    <s v="sad13_t1"/>
    <n v="0.50900000000000001"/>
    <x v="170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5"/>
    <b v="1"/>
  </r>
  <r>
    <x v="34"/>
    <x v="5"/>
    <s v="Saadiyat"/>
    <s v="t2"/>
    <s v="sad13_t2"/>
    <n v="0.29599999999999999"/>
    <x v="278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5"/>
    <b v="1"/>
  </r>
  <r>
    <x v="34"/>
    <x v="6"/>
    <s v="Saadiyat"/>
    <s v="t2"/>
    <s v="sad13_t2"/>
    <n v="0.42799999999999999"/>
    <x v="68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5"/>
    <b v="1"/>
  </r>
  <r>
    <x v="34"/>
    <x v="6"/>
    <s v="Saadiyat"/>
    <s v="t1"/>
    <s v="sad13_t1"/>
    <n v="0.39400000000000002"/>
    <x v="148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5"/>
    <b v="1"/>
  </r>
  <r>
    <x v="34"/>
    <x v="7"/>
    <s v="Saadiyat"/>
    <s v="t1"/>
    <s v="sad13_t1"/>
    <n v="0.42099999999999999"/>
    <x v="104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5"/>
    <b v="1"/>
  </r>
  <r>
    <x v="34"/>
    <x v="7"/>
    <s v="Saadiyat"/>
    <s v="t2"/>
    <s v="sad13_t2"/>
    <n v="0.43099999999999999"/>
    <x v="279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5"/>
    <b v="1"/>
  </r>
  <r>
    <x v="34"/>
    <x v="8"/>
    <s v="Saadiyat"/>
    <s v="t2"/>
    <s v="sad13_t2"/>
    <n v="0.35499999999999998"/>
    <x v="104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5"/>
    <b v="1"/>
  </r>
  <r>
    <x v="34"/>
    <x v="8"/>
    <s v="Saadiyat"/>
    <s v="t1"/>
    <s v="sad13_t1"/>
    <n v="0.315"/>
    <x v="277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5"/>
    <b v="1"/>
  </r>
  <r>
    <x v="35"/>
    <x v="5"/>
    <s v="Saadiyat"/>
    <s v="t2"/>
    <s v="sad14_t2"/>
    <n v="0.56699999999999995"/>
    <x v="280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2"/>
    <b v="1"/>
  </r>
  <r>
    <x v="35"/>
    <x v="6"/>
    <s v="Saadiyat"/>
    <s v="t2"/>
    <s v="sad14_t2"/>
    <n v="0.85499999999999998"/>
    <x v="97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2"/>
    <b v="1"/>
  </r>
  <r>
    <x v="35"/>
    <x v="6"/>
    <s v="Saadiyat"/>
    <s v="t1"/>
    <s v="sad14_t1"/>
    <n v="0.93500000000000005"/>
    <x v="145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2"/>
    <b v="1"/>
  </r>
  <r>
    <x v="35"/>
    <x v="7"/>
    <s v="Saadiyat"/>
    <s v="t1"/>
    <s v="sad14_t1"/>
    <n v="0.70099999999999996"/>
    <x v="30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2"/>
    <b v="1"/>
  </r>
  <r>
    <x v="35"/>
    <x v="7"/>
    <s v="Saadiyat"/>
    <s v="t2"/>
    <s v="sad14_t2"/>
    <n v="0.45100000000000001"/>
    <x v="35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2"/>
    <b v="1"/>
  </r>
  <r>
    <x v="35"/>
    <x v="8"/>
    <s v="Saadiyat"/>
    <s v="t2"/>
    <s v="sad14_t2"/>
    <n v="0.38600000000000001"/>
    <x v="160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2"/>
    <b v="1"/>
  </r>
  <r>
    <x v="35"/>
    <x v="8"/>
    <s v="Saadiyat"/>
    <s v="t1"/>
    <s v="sad14_t1"/>
    <n v="0.59099999999999997"/>
    <x v="49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2"/>
    <b v="1"/>
  </r>
  <r>
    <x v="36"/>
    <x v="12"/>
    <s v="Saadiyat"/>
    <s v="t1"/>
    <s v="sad15_t1"/>
    <n v="0.79900000000000004"/>
    <x v="252"/>
    <n v="33.608032786885197"/>
    <n v="20.774754098360699"/>
    <n v="0.64039989214390403"/>
    <n v="0.12020405811417099"/>
    <n v="0.45321010459510203"/>
    <n v="-3.6764538831954602E-2"/>
    <n v="0.122245901639344"/>
    <n v="7.1671160108211104E-2"/>
    <n v="0.122065573770492"/>
    <n v="2.54393847229442E-2"/>
    <n v="42"/>
    <n v="290"/>
    <s v="gulf"/>
    <x v="10"/>
    <b v="1"/>
  </r>
  <r>
    <x v="36"/>
    <x v="12"/>
    <s v="Saadiyat"/>
    <s v="t2"/>
    <s v="sad15_t2"/>
    <n v="1.2"/>
    <x v="281"/>
    <n v="33.608032786885197"/>
    <n v="20.774754098360699"/>
    <n v="0.64039989214390403"/>
    <n v="0.12020405811417099"/>
    <n v="0.45321010459510203"/>
    <n v="-3.6764538831954602E-2"/>
    <n v="0.122245901639344"/>
    <n v="7.1671160108211104E-2"/>
    <n v="0.122065573770492"/>
    <n v="2.54393847229442E-2"/>
    <n v="42"/>
    <n v="290"/>
    <s v="gulf"/>
    <x v="10"/>
    <b v="1"/>
  </r>
  <r>
    <x v="36"/>
    <x v="13"/>
    <s v="Saadiyat"/>
    <s v="t2"/>
    <s v="sad15_t2"/>
    <n v="0.96899999999999997"/>
    <x v="87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x v="10"/>
    <b v="1"/>
  </r>
  <r>
    <x v="36"/>
    <x v="13"/>
    <s v="Saadiyat"/>
    <s v="t1"/>
    <s v="sad15_t1"/>
    <n v="1.6719999999999999"/>
    <x v="282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x v="10"/>
    <b v="1"/>
  </r>
  <r>
    <x v="36"/>
    <x v="9"/>
    <s v="Saadiyat"/>
    <s v="t2"/>
    <s v="sad15_t2"/>
    <n v="1.5960000000000001"/>
    <x v="283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10"/>
    <b v="1"/>
  </r>
  <r>
    <x v="36"/>
    <x v="9"/>
    <s v="Saadiyat"/>
    <s v="t1"/>
    <s v="sad15_t1"/>
    <n v="0.63900000000000001"/>
    <x v="284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x v="10"/>
    <b v="1"/>
  </r>
  <r>
    <x v="36"/>
    <x v="10"/>
    <s v="Saadiyat"/>
    <s v="t1"/>
    <s v="sad15_t1"/>
    <n v="0.85699999999999998"/>
    <x v="112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10"/>
    <b v="1"/>
  </r>
  <r>
    <x v="36"/>
    <x v="10"/>
    <s v="Saadiyat"/>
    <s v="t2"/>
    <s v="sad15_t2"/>
    <n v="1.5780000000000001"/>
    <x v="285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x v="10"/>
    <b v="1"/>
  </r>
  <r>
    <x v="36"/>
    <x v="11"/>
    <s v="Saadiyat"/>
    <s v="t2"/>
    <s v="sad15_t2"/>
    <n v="1.0469999999999999"/>
    <x v="286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10"/>
    <b v="1"/>
  </r>
  <r>
    <x v="36"/>
    <x v="11"/>
    <s v="Saadiyat"/>
    <s v="t1"/>
    <s v="sad15_t1"/>
    <n v="0.877"/>
    <x v="287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10"/>
    <b v="1"/>
  </r>
  <r>
    <x v="36"/>
    <x v="0"/>
    <s v="Saadiyat"/>
    <s v="t2"/>
    <s v="sad15_t2"/>
    <n v="1.23"/>
    <x v="288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10"/>
    <b v="1"/>
  </r>
  <r>
    <x v="36"/>
    <x v="0"/>
    <s v="Saadiyat"/>
    <s v="t1"/>
    <s v="sad15_t1"/>
    <n v="1.159"/>
    <x v="289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10"/>
    <b v="1"/>
  </r>
  <r>
    <x v="36"/>
    <x v="1"/>
    <s v="Saadiyat"/>
    <s v="t1"/>
    <s v="sad15_t1"/>
    <n v="1.044"/>
    <x v="290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10"/>
    <b v="1"/>
  </r>
  <r>
    <x v="36"/>
    <x v="1"/>
    <s v="Saadiyat"/>
    <s v="t2"/>
    <s v="sad15_t2"/>
    <n v="0.81299999999999994"/>
    <x v="83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10"/>
    <b v="1"/>
  </r>
  <r>
    <x v="36"/>
    <x v="2"/>
    <s v="Saadiyat"/>
    <s v="t2"/>
    <s v="sad15_t2"/>
    <n v="1.2390000000000001"/>
    <x v="291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10"/>
    <b v="1"/>
  </r>
  <r>
    <x v="36"/>
    <x v="2"/>
    <s v="Saadiyat"/>
    <s v="t1"/>
    <s v="sad15_t1"/>
    <n v="0.92"/>
    <x v="292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10"/>
    <b v="1"/>
  </r>
  <r>
    <x v="36"/>
    <x v="3"/>
    <s v="Saadiyat"/>
    <s v="t1"/>
    <s v="sad15_t1"/>
    <n v="1.0289999999999999"/>
    <x v="106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10"/>
    <b v="1"/>
  </r>
  <r>
    <x v="36"/>
    <x v="3"/>
    <s v="Saadiyat"/>
    <s v="t2"/>
    <s v="sad15_t2"/>
    <n v="1.204"/>
    <x v="293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10"/>
    <b v="1"/>
  </r>
  <r>
    <x v="36"/>
    <x v="4"/>
    <s v="Saadiyat"/>
    <s v="t2"/>
    <s v="sad15_t2"/>
    <n v="1.03"/>
    <x v="294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10"/>
    <b v="1"/>
  </r>
  <r>
    <x v="36"/>
    <x v="4"/>
    <s v="Saadiyat"/>
    <s v="t1"/>
    <s v="sad15_t1"/>
    <n v="1.1259999999999999"/>
    <x v="295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10"/>
    <b v="1"/>
  </r>
  <r>
    <x v="36"/>
    <x v="5"/>
    <s v="Saadiyat"/>
    <s v="t2"/>
    <s v="sad15_t2"/>
    <n v="1.23"/>
    <x v="296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0"/>
    <b v="1"/>
  </r>
  <r>
    <x v="36"/>
    <x v="5"/>
    <s v="Saadiyat"/>
    <s v="t1"/>
    <s v="sad15_t1"/>
    <n v="0.79500000000000004"/>
    <x v="297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10"/>
    <b v="1"/>
  </r>
  <r>
    <x v="36"/>
    <x v="6"/>
    <s v="Saadiyat"/>
    <s v="t2"/>
    <s v="sad15_t2"/>
    <n v="0.58299999999999996"/>
    <x v="298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0"/>
    <b v="1"/>
  </r>
  <r>
    <x v="36"/>
    <x v="6"/>
    <s v="Saadiyat"/>
    <s v="t1"/>
    <s v="sad15_t1"/>
    <n v="1.151"/>
    <x v="286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10"/>
    <b v="1"/>
  </r>
  <r>
    <x v="36"/>
    <x v="7"/>
    <s v="Saadiyat"/>
    <s v="t2"/>
    <s v="sad15_t2"/>
    <n v="0.90400000000000003"/>
    <x v="299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0"/>
    <b v="1"/>
  </r>
  <r>
    <x v="36"/>
    <x v="7"/>
    <s v="Saadiyat"/>
    <s v="t1"/>
    <s v="sad15_t1"/>
    <n v="0.627"/>
    <x v="300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10"/>
    <b v="1"/>
  </r>
  <r>
    <x v="36"/>
    <x v="8"/>
    <s v="Saadiyat"/>
    <s v="t1"/>
    <s v="sad15_t1"/>
    <n v="0.57099999999999995"/>
    <x v="301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0"/>
    <b v="1"/>
  </r>
  <r>
    <x v="36"/>
    <x v="8"/>
    <s v="Saadiyat"/>
    <s v="t2"/>
    <s v="sad15_t2"/>
    <n v="0.81699999999999995"/>
    <x v="116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10"/>
    <b v="1"/>
  </r>
  <r>
    <x v="37"/>
    <x v="11"/>
    <s v="Saadiyat"/>
    <s v="t2"/>
    <s v="sad22_t2"/>
    <n v="1.1950000000000001"/>
    <x v="39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x v="0"/>
    <b v="1"/>
  </r>
  <r>
    <x v="37"/>
    <x v="0"/>
    <s v="Saadiyat"/>
    <s v="t1"/>
    <s v="sad22_t1"/>
    <n v="1.607"/>
    <x v="302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0"/>
    <b v="1"/>
  </r>
  <r>
    <x v="37"/>
    <x v="0"/>
    <s v="Saadiyat"/>
    <s v="t2"/>
    <s v="sad22_t2"/>
    <n v="1.512"/>
    <x v="23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x v="0"/>
    <b v="1"/>
  </r>
  <r>
    <x v="37"/>
    <x v="1"/>
    <s v="Saadiyat"/>
    <s v="t1"/>
    <s v="sad22_t1"/>
    <n v="0.65200000000000002"/>
    <x v="177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0"/>
    <b v="1"/>
  </r>
  <r>
    <x v="37"/>
    <x v="1"/>
    <s v="Saadiyat"/>
    <s v="t2"/>
    <s v="sad22_t2"/>
    <n v="0.97199999999999998"/>
    <x v="183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x v="0"/>
    <b v="1"/>
  </r>
  <r>
    <x v="37"/>
    <x v="2"/>
    <s v="Saadiyat"/>
    <s v="t2"/>
    <s v="sad22_t2"/>
    <n v="1.0680000000000001"/>
    <x v="8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0"/>
    <b v="1"/>
  </r>
  <r>
    <x v="37"/>
    <x v="2"/>
    <s v="Saadiyat"/>
    <s v="t1"/>
    <s v="sad22_t1"/>
    <n v="1.325"/>
    <x v="303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x v="0"/>
    <b v="1"/>
  </r>
  <r>
    <x v="37"/>
    <x v="3"/>
    <s v="Saadiyat"/>
    <s v="t2"/>
    <s v="sad22_t2"/>
    <n v="1.39"/>
    <x v="159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0"/>
    <b v="1"/>
  </r>
  <r>
    <x v="37"/>
    <x v="3"/>
    <s v="Saadiyat"/>
    <s v="t1"/>
    <s v="sad22_t1"/>
    <n v="1.1160000000000001"/>
    <x v="145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x v="0"/>
    <b v="1"/>
  </r>
  <r>
    <x v="37"/>
    <x v="4"/>
    <s v="Saadiyat"/>
    <s v="t1"/>
    <s v="sad22_t1"/>
    <n v="0.97599999999999998"/>
    <x v="45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0"/>
    <b v="1"/>
  </r>
  <r>
    <x v="37"/>
    <x v="4"/>
    <s v="Saadiyat"/>
    <s v="t2"/>
    <s v="sad22_t2"/>
    <n v="0.63700000000000001"/>
    <x v="90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x v="0"/>
    <b v="1"/>
  </r>
  <r>
    <x v="37"/>
    <x v="5"/>
    <s v="Saadiyat"/>
    <s v="t2"/>
    <s v="sad22_t2"/>
    <n v="0.68600000000000005"/>
    <x v="81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0"/>
    <b v="1"/>
  </r>
  <r>
    <x v="37"/>
    <x v="5"/>
    <s v="Saadiyat"/>
    <s v="t1"/>
    <s v="sad22_t1"/>
    <n v="0.67"/>
    <x v="166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x v="0"/>
    <b v="1"/>
  </r>
  <r>
    <x v="37"/>
    <x v="6"/>
    <s v="Saadiyat"/>
    <s v="t1"/>
    <s v="sad22_t1"/>
    <n v="0.94299999999999995"/>
    <x v="150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0"/>
    <b v="1"/>
  </r>
  <r>
    <x v="37"/>
    <x v="6"/>
    <s v="Saadiyat"/>
    <s v="t2"/>
    <s v="sad22_t2"/>
    <n v="0.97699999999999998"/>
    <x v="1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x v="0"/>
    <b v="1"/>
  </r>
  <r>
    <x v="37"/>
    <x v="7"/>
    <s v="Saadiyat"/>
    <s v="t2"/>
    <s v="sad22_t2"/>
    <n v="0.73199999999999998"/>
    <x v="35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0"/>
    <b v="1"/>
  </r>
  <r>
    <x v="37"/>
    <x v="7"/>
    <s v="Saadiyat"/>
    <s v="t1"/>
    <s v="sad22_t1"/>
    <n v="1.1379999999999999"/>
    <x v="227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x v="0"/>
    <b v="1"/>
  </r>
  <r>
    <x v="37"/>
    <x v="8"/>
    <s v="Saadiyat"/>
    <s v="t1"/>
    <s v="sad22_t1"/>
    <n v="1.0629999999999999"/>
    <x v="39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0"/>
    <b v="1"/>
  </r>
  <r>
    <x v="37"/>
    <x v="8"/>
    <s v="Saadiyat"/>
    <s v="t2"/>
    <s v="sad22_t2"/>
    <n v="1.2110000000000001"/>
    <x v="23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x v="0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8">
  <r>
    <x v="0"/>
    <x v="0"/>
    <s v="AlAqah"/>
    <s v="t1"/>
    <s v="ala01_t1"/>
    <n v="0.872"/>
    <n v="0.61550000000000005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7"/>
    <b v="1"/>
    <s v="ala012005"/>
    <n v="2.1262500000000002"/>
  </r>
  <r>
    <x v="0"/>
    <x v="1"/>
    <s v="AlAqah"/>
    <s v="t1"/>
    <s v="ala01_t1"/>
    <n v="0.75900000000000001"/>
    <n v="0.56010000000000004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7"/>
    <b v="1"/>
    <s v="ala012006"/>
    <n v="2.5955000000000004"/>
  </r>
  <r>
    <x v="0"/>
    <x v="1"/>
    <s v="AlAqah"/>
    <s v="t2"/>
    <s v="ala01_t2"/>
    <n v="0.60199999999999998"/>
    <n v="0.37840000000000001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7"/>
    <b v="1"/>
    <s v="ala012006"/>
    <n v="2.5955000000000004"/>
  </r>
  <r>
    <x v="0"/>
    <x v="2"/>
    <s v="AlAqah"/>
    <s v="t2"/>
    <s v="ala01_t2"/>
    <n v="1.244"/>
    <n v="0.84260000000000002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7"/>
    <b v="1"/>
    <s v="ala012007"/>
    <n v="3.3321000000000005"/>
  </r>
  <r>
    <x v="0"/>
    <x v="2"/>
    <s v="AlAqah"/>
    <s v="t1"/>
    <s v="ala01_t1"/>
    <n v="0.83899999999999997"/>
    <n v="0.63060000000000005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7"/>
    <b v="1"/>
    <s v="ala012007"/>
    <n v="3.3321000000000005"/>
  </r>
  <r>
    <x v="0"/>
    <x v="3"/>
    <s v="AlAqah"/>
    <s v="t2"/>
    <s v="ala01_t2"/>
    <n v="0.79900000000000004"/>
    <n v="0.53979999999999995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7"/>
    <b v="1"/>
    <s v="ala012008"/>
    <n v="3.9425500000000002"/>
  </r>
  <r>
    <x v="0"/>
    <x v="3"/>
    <s v="AlAqah"/>
    <s v="t1"/>
    <s v="ala01_t1"/>
    <n v="0.86099999999999999"/>
    <n v="0.68110000000000004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7"/>
    <b v="1"/>
    <s v="ala012008"/>
    <n v="3.9425500000000002"/>
  </r>
  <r>
    <x v="0"/>
    <x v="4"/>
    <s v="AlAqah"/>
    <s v="t2"/>
    <s v="ala01_t2"/>
    <n v="0.91200000000000003"/>
    <n v="0.63070000000000004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7"/>
    <b v="1"/>
    <s v="ala012009"/>
    <n v="4.4446000000000003"/>
  </r>
  <r>
    <x v="0"/>
    <x v="4"/>
    <s v="AlAqah"/>
    <s v="t1"/>
    <s v="ala01_t1"/>
    <n v="0.41299999999999998"/>
    <n v="0.37340000000000001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7"/>
    <b v="1"/>
    <s v="ala012009"/>
    <n v="4.4446000000000003"/>
  </r>
  <r>
    <x v="0"/>
    <x v="5"/>
    <s v="AlAqah"/>
    <s v="t1"/>
    <s v="ala01_t1"/>
    <n v="0.80800000000000005"/>
    <n v="0.6559000000000000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7"/>
    <b v="1"/>
    <s v="ala012010"/>
    <n v="5.0096500000000006"/>
  </r>
  <r>
    <x v="0"/>
    <x v="5"/>
    <s v="AlAqah"/>
    <s v="t2"/>
    <s v="ala01_t2"/>
    <n v="0.68300000000000005"/>
    <n v="0.47420000000000001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7"/>
    <b v="1"/>
    <s v="ala012010"/>
    <n v="5.0096500000000006"/>
  </r>
  <r>
    <x v="0"/>
    <x v="6"/>
    <s v="AlAqah"/>
    <s v="t1"/>
    <s v="ala01_t1"/>
    <n v="0.88200000000000001"/>
    <n v="0.61040000000000005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7"/>
    <b v="1"/>
    <s v="ala012011"/>
    <n v="5.5898000000000003"/>
  </r>
  <r>
    <x v="0"/>
    <x v="6"/>
    <s v="AlAqah"/>
    <s v="t2"/>
    <s v="ala01_t2"/>
    <n v="0.78300000000000003"/>
    <n v="0.54990000000000006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7"/>
    <b v="1"/>
    <s v="ala012011"/>
    <n v="5.5898000000000003"/>
  </r>
  <r>
    <x v="0"/>
    <x v="7"/>
    <s v="AlAqah"/>
    <s v="t2"/>
    <s v="ala01_t2"/>
    <n v="0.84399999999999997"/>
    <n v="0.60040000000000004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7"/>
    <b v="1"/>
    <s v="ala012012"/>
    <n v="6.27095"/>
  </r>
  <r>
    <x v="0"/>
    <x v="7"/>
    <s v="AlAqah"/>
    <s v="t1"/>
    <s v="ala01_t1"/>
    <n v="1.0609999999999999"/>
    <n v="0.76190000000000002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7"/>
    <b v="1"/>
    <s v="ala012012"/>
    <n v="6.27095"/>
  </r>
  <r>
    <x v="0"/>
    <x v="8"/>
    <s v="AlAqah"/>
    <s v="t2"/>
    <s v="ala01_t2"/>
    <n v="0.80800000000000005"/>
    <n v="0.66100000000000003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7"/>
    <b v="1"/>
    <s v="ala012013"/>
    <n v="7"/>
  </r>
  <r>
    <x v="0"/>
    <x v="8"/>
    <s v="AlAqah"/>
    <s v="t1"/>
    <s v="ala01_t1"/>
    <n v="1.121"/>
    <n v="0.79710000000000003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7"/>
    <b v="1"/>
    <s v="ala012013"/>
    <n v="7"/>
  </r>
  <r>
    <x v="1"/>
    <x v="5"/>
    <s v="AlAqah"/>
    <s v="t2"/>
    <s v="ala02_t2"/>
    <n v="1.528"/>
    <n v="1.0392999999999999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6"/>
    <b v="1"/>
    <s v="ala022010"/>
    <n v="2.5566000000000004"/>
  </r>
  <r>
    <x v="1"/>
    <x v="5"/>
    <s v="AlAqah"/>
    <s v="t1"/>
    <s v="ala02_t1"/>
    <n v="1.452"/>
    <n v="1.0494000000000001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6"/>
    <b v="1"/>
    <s v="ala022010"/>
    <n v="2.5566000000000004"/>
  </r>
  <r>
    <x v="1"/>
    <x v="6"/>
    <s v="AlAqah"/>
    <s v="t2"/>
    <s v="ala02_t2"/>
    <n v="1.2809999999999999"/>
    <n v="1.004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6"/>
    <b v="1"/>
    <s v="ala022011"/>
    <n v="3.6388000000000003"/>
  </r>
  <r>
    <x v="1"/>
    <x v="6"/>
    <s v="AlAqah"/>
    <s v="t1"/>
    <s v="ala02_t1"/>
    <n v="1.329"/>
    <n v="1.1604000000000001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6"/>
    <b v="1"/>
    <s v="ala022011"/>
    <n v="3.6388000000000003"/>
  </r>
  <r>
    <x v="1"/>
    <x v="7"/>
    <s v="AlAqah"/>
    <s v="t2"/>
    <s v="ala02_t2"/>
    <n v="1.202"/>
    <n v="1.1755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6"/>
    <b v="1"/>
    <s v="ala022012"/>
    <n v="4.7815500000000002"/>
  </r>
  <r>
    <x v="1"/>
    <x v="7"/>
    <s v="AlAqah"/>
    <s v="t1"/>
    <s v="ala02_t1"/>
    <n v="1.145"/>
    <n v="1.1100000000000001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6"/>
    <b v="1"/>
    <s v="ala022012"/>
    <n v="4.7815500000000002"/>
  </r>
  <r>
    <x v="1"/>
    <x v="8"/>
    <s v="AlAqah"/>
    <s v="t1"/>
    <s v="ala02_t1"/>
    <n v="1.0269999999999999"/>
    <n v="0.999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6"/>
    <b v="1"/>
    <s v="ala022013"/>
    <n v="6"/>
  </r>
  <r>
    <x v="1"/>
    <x v="8"/>
    <s v="AlAqah"/>
    <s v="t2"/>
    <s v="ala02_t2"/>
    <n v="1.385"/>
    <n v="1.4379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6"/>
    <b v="1"/>
    <s v="ala022013"/>
    <n v="6"/>
  </r>
  <r>
    <x v="2"/>
    <x v="0"/>
    <s v="AlAqah"/>
    <s v="t2"/>
    <s v="ala08_t2"/>
    <n v="1.177"/>
    <n v="0.77200000000000002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8"/>
    <b v="1"/>
    <s v="ala082005"/>
    <n v="3.0531500000000005"/>
  </r>
  <r>
    <x v="2"/>
    <x v="0"/>
    <s v="AlAqah"/>
    <s v="t1"/>
    <s v="ala08_t1"/>
    <n v="1.1120000000000001"/>
    <n v="0.79210000000000003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8"/>
    <b v="1"/>
    <s v="ala082005"/>
    <n v="3.0531500000000005"/>
  </r>
  <r>
    <x v="2"/>
    <x v="1"/>
    <s v="AlAqah"/>
    <s v="t2"/>
    <s v="ala08_t2"/>
    <n v="1.2909999999999999"/>
    <n v="0.74670000000000003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8"/>
    <b v="1"/>
    <s v="ala082006"/>
    <n v="3.6157000000000004"/>
  </r>
  <r>
    <x v="2"/>
    <x v="1"/>
    <s v="AlAqah"/>
    <s v="t1"/>
    <s v="ala08_t1"/>
    <n v="0.65600000000000003"/>
    <n v="0.37840000000000001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8"/>
    <b v="1"/>
    <s v="ala082006"/>
    <n v="3.6157000000000004"/>
  </r>
  <r>
    <x v="2"/>
    <x v="2"/>
    <s v="AlAqah"/>
    <s v="t2"/>
    <s v="ala08_t2"/>
    <n v="1.339"/>
    <n v="0.78700000000000003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8"/>
    <b v="1"/>
    <s v="ala082007"/>
    <n v="4.4507000000000003"/>
  </r>
  <r>
    <x v="2"/>
    <x v="2"/>
    <s v="AlAqah"/>
    <s v="t1"/>
    <s v="ala08_t1"/>
    <n v="1.4490000000000001"/>
    <n v="0.88300000000000001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8"/>
    <b v="1"/>
    <s v="ala082007"/>
    <n v="4.4507000000000003"/>
  </r>
  <r>
    <x v="2"/>
    <x v="3"/>
    <s v="AlAqah"/>
    <s v="t2"/>
    <s v="ala08_t2"/>
    <n v="0.876"/>
    <n v="0.54490000000000005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8"/>
    <b v="1"/>
    <s v="ala082008"/>
    <n v="4.9274500000000003"/>
  </r>
  <r>
    <x v="2"/>
    <x v="3"/>
    <s v="AlAqah"/>
    <s v="t1"/>
    <s v="ala08_t1"/>
    <n v="0.57799999999999996"/>
    <n v="0.40860000000000002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8"/>
    <b v="1"/>
    <s v="ala082008"/>
    <n v="4.9274500000000003"/>
  </r>
  <r>
    <x v="2"/>
    <x v="4"/>
    <s v="AlAqah"/>
    <s v="t1"/>
    <s v="ala08_t1"/>
    <n v="1.087"/>
    <n v="0.93340000000000001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8"/>
    <b v="1"/>
    <s v="ala082009"/>
    <n v="5.7473000000000001"/>
  </r>
  <r>
    <x v="2"/>
    <x v="4"/>
    <s v="AlAqah"/>
    <s v="t2"/>
    <s v="ala08_t2"/>
    <n v="1.02"/>
    <n v="0.70630000000000004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8"/>
    <b v="1"/>
    <s v="ala082009"/>
    <n v="5.7473000000000001"/>
  </r>
  <r>
    <x v="2"/>
    <x v="5"/>
    <s v="AlAqah"/>
    <s v="t2"/>
    <s v="ala08_t2"/>
    <n v="0.89300000000000002"/>
    <n v="0.6660000000000000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8"/>
    <b v="1"/>
    <s v="ala082010"/>
    <n v="6.3956"/>
  </r>
  <r>
    <x v="2"/>
    <x v="5"/>
    <s v="AlAqah"/>
    <s v="t1"/>
    <s v="ala08_t1"/>
    <n v="0.78900000000000003"/>
    <n v="0.63060000000000005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8"/>
    <b v="1"/>
    <s v="ala082010"/>
    <n v="6.3956"/>
  </r>
  <r>
    <x v="2"/>
    <x v="6"/>
    <s v="AlAqah"/>
    <s v="t1"/>
    <s v="ala08_t1"/>
    <n v="0.56799999999999995"/>
    <n v="0.39860000000000001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8"/>
    <b v="1"/>
    <s v="ala082011"/>
    <n v="6.8698500000000005"/>
  </r>
  <r>
    <x v="2"/>
    <x v="6"/>
    <s v="AlAqah"/>
    <s v="t2"/>
    <s v="ala08_t2"/>
    <n v="0.74"/>
    <n v="0.54990000000000006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8"/>
    <b v="1"/>
    <s v="ala082011"/>
    <n v="6.8698500000000005"/>
  </r>
  <r>
    <x v="2"/>
    <x v="7"/>
    <s v="AlAqah"/>
    <s v="t2"/>
    <s v="ala08_t2"/>
    <n v="0.56299999999999994"/>
    <n v="0.44400000000000001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8"/>
    <b v="1"/>
    <s v="ala082012"/>
    <n v="7.3315000000000001"/>
  </r>
  <r>
    <x v="2"/>
    <x v="7"/>
    <s v="AlAqah"/>
    <s v="t1"/>
    <s v="ala08_t1"/>
    <n v="0.70499999999999996"/>
    <n v="0.4793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8"/>
    <b v="1"/>
    <s v="ala082012"/>
    <n v="7.3315000000000001"/>
  </r>
  <r>
    <x v="2"/>
    <x v="8"/>
    <s v="AlAqah"/>
    <s v="t2"/>
    <s v="ala08_t2"/>
    <n v="0.70699999999999996"/>
    <n v="0.61550000000000005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8"/>
    <b v="1"/>
    <s v="ala082013"/>
    <n v="8"/>
  </r>
  <r>
    <x v="2"/>
    <x v="8"/>
    <s v="AlAqah"/>
    <s v="t1"/>
    <s v="ala08_t1"/>
    <n v="0.94599999999999995"/>
    <n v="0.72150000000000003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8"/>
    <b v="1"/>
    <s v="ala082013"/>
    <n v="8"/>
  </r>
  <r>
    <x v="3"/>
    <x v="9"/>
    <s v="AlAqah"/>
    <s v="t2"/>
    <s v="ala10_t2"/>
    <n v="1.173"/>
    <n v="0.72650000000000003"/>
    <n v="32.909999999999997"/>
    <n v="23.496885245901598"/>
    <n v="0.42646039669042601"/>
    <n v="5.0457998929909001E-2"/>
    <n v="0.55645305282656199"/>
    <n v="-3.03648187018975E-2"/>
    <n v="0.119295081967213"/>
    <n v="6.8284294012189703E-2"/>
    <n v="0.13786885245901601"/>
    <n v="4.3507269664519302E-2"/>
    <n v="33"/>
    <n v="292"/>
    <s v="oman"/>
    <n v="8.5"/>
    <b v="1"/>
    <s v="ala102002"/>
    <n v="2.2867499999999996"/>
  </r>
  <r>
    <x v="3"/>
    <x v="10"/>
    <s v="AlAqah"/>
    <s v="t2"/>
    <s v="ala10_t2"/>
    <n v="1.133"/>
    <n v="0.70640000000000003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n v="8.5"/>
    <b v="1"/>
    <s v="ala102003"/>
    <n v="2.8694999999999995"/>
  </r>
  <r>
    <x v="3"/>
    <x v="10"/>
    <s v="AlAqah"/>
    <s v="t1"/>
    <s v="ala10_t1"/>
    <n v="0.88200000000000001"/>
    <n v="0.45910000000000001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n v="8.5"/>
    <b v="1"/>
    <s v="ala102003"/>
    <n v="2.8694999999999995"/>
  </r>
  <r>
    <x v="3"/>
    <x v="11"/>
    <s v="AlAqah"/>
    <s v="t1"/>
    <s v="ala10_t1"/>
    <n v="1.482"/>
    <n v="0.83250000000000002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n v="8.5"/>
    <b v="1"/>
    <s v="ala102004"/>
    <n v="3.6792499999999992"/>
  </r>
  <r>
    <x v="3"/>
    <x v="11"/>
    <s v="AlAqah"/>
    <s v="t2"/>
    <s v="ala10_t2"/>
    <n v="1.302"/>
    <n v="0.78700000000000003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n v="8.5"/>
    <b v="1"/>
    <s v="ala102004"/>
    <n v="3.6792499999999992"/>
  </r>
  <r>
    <x v="3"/>
    <x v="0"/>
    <s v="AlAqah"/>
    <s v="t2"/>
    <s v="ala10_t2"/>
    <n v="1.167"/>
    <n v="0.71650000000000003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8.5"/>
    <b v="1"/>
    <s v="ala102005"/>
    <n v="4.2140999999999993"/>
  </r>
  <r>
    <x v="3"/>
    <x v="0"/>
    <s v="AlAqah"/>
    <s v="t1"/>
    <s v="ala10_t1"/>
    <n v="0.67900000000000005"/>
    <n v="0.35320000000000001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8.5"/>
    <b v="1"/>
    <s v="ala102005"/>
    <n v="4.2140999999999993"/>
  </r>
  <r>
    <x v="3"/>
    <x v="1"/>
    <s v="AlAqah"/>
    <s v="t1"/>
    <s v="ala10_t1"/>
    <n v="0.98199999999999998"/>
    <n v="0.53979999999999995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8.5"/>
    <b v="1"/>
    <s v="ala102006"/>
    <n v="4.7765999999999993"/>
  </r>
  <r>
    <x v="3"/>
    <x v="1"/>
    <s v="AlAqah"/>
    <s v="t2"/>
    <s v="ala10_t2"/>
    <n v="0.92700000000000005"/>
    <n v="0.58520000000000005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8.5"/>
    <b v="1"/>
    <s v="ala102006"/>
    <n v="4.7765999999999993"/>
  </r>
  <r>
    <x v="3"/>
    <x v="2"/>
    <s v="AlAqah"/>
    <s v="t1"/>
    <s v="ala10_t1"/>
    <n v="0.94199999999999995"/>
    <n v="0.57520000000000004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8.5"/>
    <b v="1"/>
    <s v="ala102007"/>
    <n v="5.2962999999999996"/>
  </r>
  <r>
    <x v="3"/>
    <x v="2"/>
    <s v="AlAqah"/>
    <s v="t2"/>
    <s v="ala10_t2"/>
    <n v="0.77500000000000002"/>
    <n v="0.4642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8.5"/>
    <b v="1"/>
    <s v="ala102007"/>
    <n v="5.2962999999999996"/>
  </r>
  <r>
    <x v="3"/>
    <x v="3"/>
    <s v="AlAqah"/>
    <s v="t1"/>
    <s v="ala10_t1"/>
    <n v="0.81399999999999995"/>
    <n v="0.46410000000000001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8.5"/>
    <b v="1"/>
    <s v="ala102008"/>
    <n v="5.7200499999999996"/>
  </r>
  <r>
    <x v="3"/>
    <x v="3"/>
    <s v="AlAqah"/>
    <s v="t2"/>
    <s v="ala10_t2"/>
    <n v="0.71499999999999997"/>
    <n v="0.38340000000000002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8.5"/>
    <b v="1"/>
    <s v="ala102008"/>
    <n v="5.7200499999999996"/>
  </r>
  <r>
    <x v="3"/>
    <x v="4"/>
    <s v="AlAqah"/>
    <s v="t2"/>
    <s v="ala10_t2"/>
    <n v="0.92700000000000005"/>
    <n v="0.48430000000000001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8.5"/>
    <b v="1"/>
    <s v="ala102009"/>
    <n v="6.2850999999999999"/>
  </r>
  <r>
    <x v="3"/>
    <x v="4"/>
    <s v="AlAqah"/>
    <s v="t1"/>
    <s v="ala10_t1"/>
    <n v="1.2869999999999999"/>
    <n v="0.64580000000000004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8.5"/>
    <b v="1"/>
    <s v="ala102009"/>
    <n v="6.2850999999999999"/>
  </r>
  <r>
    <x v="3"/>
    <x v="5"/>
    <s v="AlAqah"/>
    <s v="t2"/>
    <s v="ala10_t2"/>
    <n v="0.86"/>
    <n v="0.4541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8.5"/>
    <b v="1"/>
    <s v="ala102010"/>
    <n v="6.9485999999999999"/>
  </r>
  <r>
    <x v="3"/>
    <x v="5"/>
    <s v="AlAqah"/>
    <s v="t1"/>
    <s v="ala10_t1"/>
    <n v="1.619"/>
    <n v="0.87290000000000001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8.5"/>
    <b v="1"/>
    <s v="ala102010"/>
    <n v="6.9485999999999999"/>
  </r>
  <r>
    <x v="3"/>
    <x v="6"/>
    <s v="AlAqah"/>
    <s v="t1"/>
    <s v="ala10_t1"/>
    <n v="0.76900000000000002"/>
    <n v="0.44900000000000001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8.5"/>
    <b v="1"/>
    <s v="ala102011"/>
    <n v="7.42035"/>
  </r>
  <r>
    <x v="3"/>
    <x v="6"/>
    <s v="AlAqah"/>
    <s v="t2"/>
    <s v="ala10_t2"/>
    <n v="0.88700000000000001"/>
    <n v="0.4945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8.5"/>
    <b v="1"/>
    <s v="ala102011"/>
    <n v="7.42035"/>
  </r>
  <r>
    <x v="3"/>
    <x v="7"/>
    <s v="AlAqah"/>
    <s v="t2"/>
    <s v="ala10_t2"/>
    <n v="0.89400000000000002"/>
    <n v="0.59530000000000005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8.5"/>
    <b v="1"/>
    <s v="ala102012"/>
    <n v="8.0257500000000004"/>
  </r>
  <r>
    <x v="3"/>
    <x v="7"/>
    <s v="AlAqah"/>
    <s v="t1"/>
    <s v="ala10_t1"/>
    <n v="0.998"/>
    <n v="0.61550000000000005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8.5"/>
    <b v="1"/>
    <s v="ala102012"/>
    <n v="8.0257500000000004"/>
  </r>
  <r>
    <x v="3"/>
    <x v="8"/>
    <s v="AlAqah"/>
    <s v="t1"/>
    <s v="ala10_t1"/>
    <n v="0.872"/>
    <n v="0.59530000000000005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8.5"/>
    <b v="1"/>
    <s v="ala102013"/>
    <n v="8.5"/>
  </r>
  <r>
    <x v="3"/>
    <x v="8"/>
    <s v="AlAqah"/>
    <s v="t2"/>
    <s v="ala10_t2"/>
    <n v="0.46500000000000002"/>
    <n v="0.35320000000000001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8.5"/>
    <b v="1"/>
    <s v="ala102013"/>
    <n v="8.5"/>
  </r>
  <r>
    <x v="4"/>
    <x v="12"/>
    <s v="AlAqah"/>
    <s v="t1"/>
    <s v="ala12_t1"/>
    <n v="0.79700000000000004"/>
    <n v="0.65590000000000004"/>
    <n v="32.322786885245897"/>
    <n v="23.145901639344299"/>
    <n v="0.42378601931155602"/>
    <n v="9.5854138370992395E-2"/>
    <n v="0.54712209085899699"/>
    <n v="-3.38162736140264E-2"/>
    <n v="0.147639344262295"/>
    <n v="7.5325523073056094E-2"/>
    <n v="0.186172131147541"/>
    <n v="7.7371882118299998E-2"/>
    <n v="42"/>
    <n v="301"/>
    <s v="oman"/>
    <n v="13.5"/>
    <b v="1"/>
    <s v="ala122000"/>
    <n v="4.9407499999999986"/>
  </r>
  <r>
    <x v="4"/>
    <x v="12"/>
    <s v="AlAqah"/>
    <s v="t2"/>
    <s v="ala12_t2"/>
    <n v="1.0069999999999999"/>
    <n v="0.57010000000000005"/>
    <n v="32.322786885245897"/>
    <n v="23.145901639344299"/>
    <n v="0.42378601931155602"/>
    <n v="9.5854138370992395E-2"/>
    <n v="0.54712209085899699"/>
    <n v="-3.38162736140264E-2"/>
    <n v="0.147639344262295"/>
    <n v="7.5325523073056094E-2"/>
    <n v="0.186172131147541"/>
    <n v="7.7371882118299998E-2"/>
    <n v="42"/>
    <n v="301"/>
    <s v="oman"/>
    <n v="13.5"/>
    <b v="1"/>
    <s v="ala122000"/>
    <n v="4.9407499999999986"/>
  </r>
  <r>
    <x v="4"/>
    <x v="13"/>
    <s v="AlAqah"/>
    <s v="t1"/>
    <s v="ala12_t1"/>
    <n v="1.26"/>
    <n v="0.57010000000000005"/>
    <n v="32.527213114754097"/>
    <n v="22.8627868852459"/>
    <n v="0.40595209548065703"/>
    <n v="7.0665267316952704E-2"/>
    <n v="0.58467407201944799"/>
    <n v="-2.2338313372021201E-2"/>
    <n v="0.10418032786885199"/>
    <n v="5.2291971403113501E-2"/>
    <n v="0.14744262295082"/>
    <n v="6.1933438623025999E-2"/>
    <n v="35"/>
    <n v="263"/>
    <s v="oman"/>
    <n v="13.5"/>
    <b v="1"/>
    <s v="ala122001"/>
    <n v="5.6672499999999983"/>
  </r>
  <r>
    <x v="4"/>
    <x v="13"/>
    <s v="AlAqah"/>
    <s v="t2"/>
    <s v="ala12_t2"/>
    <n v="0.88400000000000001"/>
    <n v="0.88290000000000002"/>
    <n v="32.527213114754097"/>
    <n v="22.8627868852459"/>
    <n v="0.40595209548065703"/>
    <n v="7.0665267316952704E-2"/>
    <n v="0.58467407201944799"/>
    <n v="-2.2338313372021201E-2"/>
    <n v="0.10418032786885199"/>
    <n v="5.2291971403113501E-2"/>
    <n v="0.14744262295082"/>
    <n v="6.1933438623025999E-2"/>
    <n v="35"/>
    <n v="263"/>
    <s v="oman"/>
    <n v="13.5"/>
    <b v="1"/>
    <s v="ala122001"/>
    <n v="5.6672499999999983"/>
  </r>
  <r>
    <x v="4"/>
    <x v="9"/>
    <s v="AlAqah"/>
    <s v="t1"/>
    <s v="ala12_t1"/>
    <n v="0.81499999999999995"/>
    <n v="0.66600000000000004"/>
    <n v="32.909999999999997"/>
    <n v="23.496885245901598"/>
    <n v="0.42646039669042601"/>
    <n v="5.0457998929909001E-2"/>
    <n v="0.55645305282656199"/>
    <n v="-3.03648187018975E-2"/>
    <n v="0.119295081967213"/>
    <n v="6.8284294012189703E-2"/>
    <n v="0.13786885245901601"/>
    <n v="4.3507269664519302E-2"/>
    <n v="33"/>
    <n v="292"/>
    <s v="oman"/>
    <n v="13.5"/>
    <b v="1"/>
    <s v="ala122002"/>
    <n v="6.3231499999999983"/>
  </r>
  <r>
    <x v="4"/>
    <x v="9"/>
    <s v="AlAqah"/>
    <s v="t2"/>
    <s v="ala12_t2"/>
    <n v="0.98199999999999998"/>
    <n v="0.64580000000000004"/>
    <n v="32.909999999999997"/>
    <n v="23.496885245901598"/>
    <n v="0.42646039669042601"/>
    <n v="5.0457998929909001E-2"/>
    <n v="0.55645305282656199"/>
    <n v="-3.03648187018975E-2"/>
    <n v="0.119295081967213"/>
    <n v="6.8284294012189703E-2"/>
    <n v="0.13786885245901601"/>
    <n v="4.3507269664519302E-2"/>
    <n v="33"/>
    <n v="292"/>
    <s v="oman"/>
    <n v="13.5"/>
    <b v="1"/>
    <s v="ala122002"/>
    <n v="6.3231499999999983"/>
  </r>
  <r>
    <x v="4"/>
    <x v="10"/>
    <s v="AlAqah"/>
    <s v="t1"/>
    <s v="ala12_t1"/>
    <n v="1.8320000000000001"/>
    <n v="0.74160000000000004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n v="13.5"/>
    <b v="1"/>
    <s v="ala122003"/>
    <n v="7.4784999999999986"/>
  </r>
  <r>
    <x v="4"/>
    <x v="10"/>
    <s v="AlAqah"/>
    <s v="t2"/>
    <s v="ala12_t2"/>
    <n v="0.93600000000000005"/>
    <n v="1.5690999999999999"/>
    <n v="31.921147540983601"/>
    <n v="23.1155737704918"/>
    <n v="0.30622717378967701"/>
    <n v="5.52400707906327E-2"/>
    <n v="0.82169560130390495"/>
    <n v="-2.5049594600156301E-2"/>
    <n v="0.128491803278689"/>
    <n v="6.7930263984672695E-2"/>
    <n v="0.13262295081967199"/>
    <n v="7.5542518697403402E-2"/>
    <n v="29"/>
    <n v="254"/>
    <s v="oman"/>
    <n v="13.5"/>
    <b v="1"/>
    <s v="ala122003"/>
    <n v="7.4784999999999986"/>
  </r>
  <r>
    <x v="4"/>
    <x v="11"/>
    <s v="AlAqah"/>
    <s v="t1"/>
    <s v="ala12_t1"/>
    <n v="1.21"/>
    <n v="0.75680000000000003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n v="13.5"/>
    <b v="1"/>
    <s v="ala122004"/>
    <n v="8.3815999999999988"/>
  </r>
  <r>
    <x v="4"/>
    <x v="11"/>
    <s v="AlAqah"/>
    <s v="t2"/>
    <s v="ala12_t2"/>
    <n v="1.042"/>
    <n v="1.0494000000000001"/>
    <n v="32.291967213114802"/>
    <n v="23.247868852459"/>
    <n v="0.33951983130149399"/>
    <n v="5.7782442276824303E-2"/>
    <n v="0.59515493689215404"/>
    <n v="-2.8793760546569399E-2"/>
    <n v="0.12691803278688499"/>
    <n v="5.8047766273982601E-2"/>
    <n v="0.120819672131148"/>
    <n v="5.0604185662426901E-2"/>
    <n v="42"/>
    <n v="278"/>
    <s v="oman"/>
    <n v="13.5"/>
    <b v="1"/>
    <s v="ala122004"/>
    <n v="8.3815999999999988"/>
  </r>
  <r>
    <x v="4"/>
    <x v="0"/>
    <s v="AlAqah"/>
    <s v="t2"/>
    <s v="ala12_t2"/>
    <n v="1.68"/>
    <n v="0.66090000000000004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13.5"/>
    <b v="1"/>
    <s v="ala122005"/>
    <n v="9.3754999999999988"/>
  </r>
  <r>
    <x v="4"/>
    <x v="0"/>
    <s v="AlAqah"/>
    <s v="t1"/>
    <s v="ala12_t1"/>
    <n v="0.69599999999999995"/>
    <n v="1.3269"/>
    <n v="32.478032786885201"/>
    <n v="22.987049180327901"/>
    <n v="0.46598406361267702"/>
    <n v="6.7457299255052103E-2"/>
    <n v="0.967430996113127"/>
    <n v="-3.3223937111577499E-2"/>
    <n v="0.128491803278689"/>
    <n v="8.19631264555023E-2"/>
    <n v="0.160524590163934"/>
    <n v="6.3172938973734896E-2"/>
    <n v="38"/>
    <n v="303"/>
    <s v="oman"/>
    <n v="13.5"/>
    <b v="1"/>
    <s v="ala122005"/>
    <n v="9.3754999999999988"/>
  </r>
  <r>
    <x v="4"/>
    <x v="1"/>
    <s v="AlAqah"/>
    <s v="t1"/>
    <s v="ala12_t1"/>
    <n v="0.72699999999999998"/>
    <n v="1.0948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13.5"/>
    <b v="1"/>
    <s v="ala122006"/>
    <n v="10.25085"/>
  </r>
  <r>
    <x v="4"/>
    <x v="1"/>
    <s v="AlAqah"/>
    <s v="t2"/>
    <s v="ala12_t2"/>
    <n v="1.403"/>
    <n v="0.65590000000000004"/>
    <n v="32.362622950819699"/>
    <n v="23.188524590163901"/>
    <n v="0.53876969744525005"/>
    <n v="4.07453595094045E-2"/>
    <n v="0.43395814559833701"/>
    <n v="-1.16078528213361E-2"/>
    <n v="0.139409836065574"/>
    <n v="7.4174878283054899E-2"/>
    <n v="0.13860655737704899"/>
    <n v="4.5967843357621399E-2"/>
    <n v="25"/>
    <n v="294"/>
    <s v="oman"/>
    <n v="13.5"/>
    <b v="1"/>
    <s v="ala122006"/>
    <n v="10.25085"/>
  </r>
  <r>
    <x v="4"/>
    <x v="2"/>
    <s v="AlAqah"/>
    <s v="t2"/>
    <s v="ala12_t2"/>
    <n v="0.64800000000000002"/>
    <n v="0.48430000000000001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13.5"/>
    <b v="1"/>
    <s v="ala122007"/>
    <n v="10.7705"/>
  </r>
  <r>
    <x v="4"/>
    <x v="2"/>
    <s v="AlAqah"/>
    <s v="t1"/>
    <s v="ala12_t1"/>
    <n v="0.505"/>
    <n v="0.55500000000000005"/>
    <n v="32.542786885245903"/>
    <n v="22.9334426229508"/>
    <n v="0.24580402251862901"/>
    <n v="0.115377947894802"/>
    <n v="0.63442659451282202"/>
    <n v="-2.99404864798124E-2"/>
    <n v="0.114016393442623"/>
    <n v="7.5801603281918095E-2"/>
    <n v="0.119196721311475"/>
    <n v="5.0144730421760597E-2"/>
    <n v="66"/>
    <n v="286"/>
    <s v="oman"/>
    <n v="13.5"/>
    <b v="1"/>
    <s v="ala122007"/>
    <n v="10.7705"/>
  </r>
  <r>
    <x v="4"/>
    <x v="3"/>
    <s v="AlAqah"/>
    <s v="t1"/>
    <s v="ala12_t1"/>
    <n v="0.42199999999999999"/>
    <n v="0.44400000000000001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13.5"/>
    <b v="1"/>
    <s v="ala122008"/>
    <n v="11.19685"/>
  </r>
  <r>
    <x v="4"/>
    <x v="3"/>
    <s v="AlAqah"/>
    <s v="t2"/>
    <s v="ala12_t2"/>
    <n v="0.50900000000000001"/>
    <n v="0.40870000000000001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13.5"/>
    <b v="1"/>
    <s v="ala122008"/>
    <n v="11.19685"/>
  </r>
  <r>
    <x v="4"/>
    <x v="4"/>
    <s v="AlAqah"/>
    <s v="t2"/>
    <s v="ala12_t2"/>
    <n v="0.29799999999999999"/>
    <n v="0.4844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13.5"/>
    <b v="1"/>
    <s v="ala122009"/>
    <n v="11.582849999999999"/>
  </r>
  <r>
    <x v="4"/>
    <x v="4"/>
    <s v="AlAqah"/>
    <s v="t1"/>
    <s v="ala12_t1"/>
    <n v="0.47899999999999998"/>
    <n v="0.28760000000000002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13.5"/>
    <b v="1"/>
    <s v="ala122009"/>
    <n v="11.582849999999999"/>
  </r>
  <r>
    <x v="4"/>
    <x v="5"/>
    <s v="AlAqah"/>
    <s v="t2"/>
    <s v="ala12_t2"/>
    <n v="0.60799999999999998"/>
    <n v="0.53979999999999995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13.5"/>
    <b v="1"/>
    <s v="ala122010"/>
    <n v="12.160499999999999"/>
  </r>
  <r>
    <x v="4"/>
    <x v="5"/>
    <s v="AlAqah"/>
    <s v="t1"/>
    <s v="ala12_t1"/>
    <n v="0.56100000000000005"/>
    <n v="0.61550000000000005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13.5"/>
    <b v="1"/>
    <s v="ala122010"/>
    <n v="12.160499999999999"/>
  </r>
  <r>
    <x v="4"/>
    <x v="6"/>
    <s v="AlAqah"/>
    <s v="t1"/>
    <s v="ala12_t1"/>
    <n v="0.23899999999999999"/>
    <n v="0.36320000000000002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13.5"/>
    <b v="1"/>
    <s v="ala122011"/>
    <n v="12.45055"/>
  </r>
  <r>
    <x v="4"/>
    <x v="6"/>
    <s v="AlAqah"/>
    <s v="t2"/>
    <s v="ala12_t2"/>
    <n v="0.372"/>
    <n v="0.21690000000000001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13.5"/>
    <b v="1"/>
    <s v="ala122011"/>
    <n v="12.45055"/>
  </r>
  <r>
    <x v="4"/>
    <x v="7"/>
    <s v="AlAqah"/>
    <s v="t2"/>
    <s v="ala12_t2"/>
    <n v="0.35699999999999998"/>
    <n v="0.51470000000000005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13.5"/>
    <b v="1"/>
    <s v="ala122012"/>
    <n v="12.894600000000001"/>
  </r>
  <r>
    <x v="4"/>
    <x v="7"/>
    <s v="AlAqah"/>
    <s v="t1"/>
    <s v="ala12_t1"/>
    <n v="0.51400000000000001"/>
    <n v="0.37340000000000001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13.5"/>
    <b v="1"/>
    <s v="ala122012"/>
    <n v="12.894600000000001"/>
  </r>
  <r>
    <x v="4"/>
    <x v="8"/>
    <s v="AlAqah"/>
    <s v="t1"/>
    <s v="ala12_t1"/>
    <n v="0.503"/>
    <n v="0.68610000000000004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13.5"/>
    <b v="1"/>
    <s v="ala122013"/>
    <n v="13.5"/>
  </r>
  <r>
    <x v="4"/>
    <x v="8"/>
    <s v="AlAqah"/>
    <s v="t2"/>
    <s v="ala12_t2"/>
    <n v="0.71899999999999997"/>
    <n v="0.52470000000000006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13.5"/>
    <b v="1"/>
    <s v="ala122013"/>
    <n v="13.5"/>
  </r>
  <r>
    <x v="5"/>
    <x v="5"/>
    <s v="AlAqah"/>
    <s v="t1"/>
    <s v="ala14_t1"/>
    <n v="0.88100000000000001"/>
    <n v="0.6609000000000000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6"/>
    <b v="1"/>
    <s v="ala142010"/>
    <n v="3.1520000000000001"/>
  </r>
  <r>
    <x v="5"/>
    <x v="5"/>
    <s v="AlAqah"/>
    <s v="t2"/>
    <s v="ala14_t2"/>
    <n v="1.833"/>
    <n v="1.4177999999999999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6"/>
    <b v="1"/>
    <s v="ala142010"/>
    <n v="3.1520000000000001"/>
  </r>
  <r>
    <x v="5"/>
    <x v="6"/>
    <s v="AlAqah"/>
    <s v="t2"/>
    <s v="ala14_t2"/>
    <n v="1.052"/>
    <n v="0.76680000000000004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6"/>
    <b v="1"/>
    <s v="ala142011"/>
    <n v="3.9062500000000004"/>
  </r>
  <r>
    <x v="5"/>
    <x v="6"/>
    <s v="AlAqah"/>
    <s v="t1"/>
    <s v="ala14_t1"/>
    <n v="0.96699999999999997"/>
    <n v="0.74170000000000003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6"/>
    <b v="1"/>
    <s v="ala142011"/>
    <n v="3.9062500000000004"/>
  </r>
  <r>
    <x v="5"/>
    <x v="7"/>
    <s v="AlAqah"/>
    <s v="t2"/>
    <s v="ala14_t2"/>
    <n v="1.32"/>
    <n v="1.1100000000000001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6"/>
    <b v="1"/>
    <s v="ala142012"/>
    <n v="4.8573000000000004"/>
  </r>
  <r>
    <x v="5"/>
    <x v="7"/>
    <s v="AlAqah"/>
    <s v="t1"/>
    <s v="ala14_t1"/>
    <n v="0.97"/>
    <n v="0.79210000000000003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6"/>
    <b v="1"/>
    <s v="ala142012"/>
    <n v="4.8573000000000004"/>
  </r>
  <r>
    <x v="5"/>
    <x v="8"/>
    <s v="AlAqah"/>
    <s v="t1"/>
    <s v="ala14_t1"/>
    <n v="1.335"/>
    <n v="1.3117000000000001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6"/>
    <b v="1"/>
    <s v="ala142013"/>
    <n v="6"/>
  </r>
  <r>
    <x v="5"/>
    <x v="8"/>
    <s v="AlAqah"/>
    <s v="t2"/>
    <s v="ala14_t2"/>
    <n v="0.95199999999999996"/>
    <n v="0.97370000000000001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6"/>
    <b v="1"/>
    <s v="ala142013"/>
    <n v="6"/>
  </r>
  <r>
    <x v="6"/>
    <x v="3"/>
    <s v="AlAqah"/>
    <s v="t2"/>
    <s v="ala21_t2"/>
    <n v="1.149"/>
    <n v="0.68610000000000004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5"/>
    <b v="1"/>
    <s v="ala212008"/>
    <n v="1.9788499999999998"/>
  </r>
  <r>
    <x v="6"/>
    <x v="3"/>
    <s v="AlAqah"/>
    <s v="t1"/>
    <s v="ala21_t1"/>
    <n v="1.9930000000000001"/>
    <n v="0.88"/>
    <n v="31.811967213114801"/>
    <n v="22.82"/>
    <n v="0.69308008195301696"/>
    <n v="9.2984154422356802E-2"/>
    <n v="0.64062942921299704"/>
    <n v="-6.4163476972465099E-3"/>
    <n v="0.10027868852459"/>
    <n v="6.5569335095897005E-2"/>
    <n v="0.18522950819672099"/>
    <n v="6.21163943583933E-2"/>
    <n v="53"/>
    <n v="299"/>
    <s v="oman"/>
    <n v="5"/>
    <b v="1"/>
    <s v="ala212008"/>
    <n v="1.9788499999999998"/>
  </r>
  <r>
    <x v="6"/>
    <x v="4"/>
    <s v="AlAqah"/>
    <s v="t1"/>
    <s v="ala21_t1"/>
    <n v="0.95799999999999996"/>
    <n v="0.46500000000000002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5"/>
    <b v="1"/>
    <s v="ala212009"/>
    <n v="2.4560499999999998"/>
  </r>
  <r>
    <x v="6"/>
    <x v="4"/>
    <s v="AlAqah"/>
    <s v="t2"/>
    <s v="ala21_t2"/>
    <n v="0.83099999999999996"/>
    <n v="0.4894"/>
    <n v="32.732131147540997"/>
    <n v="23.204754098360699"/>
    <n v="0.42106059167051402"/>
    <n v="6.2895501502243101E-2"/>
    <n v="0.53477445324827799"/>
    <n v="-1.6443676174013301E-2"/>
    <n v="0.11732786885245899"/>
    <n v="6.55214268544968E-2"/>
    <n v="0.132688524590164"/>
    <n v="6.0236628110479598E-2"/>
    <n v="44"/>
    <n v="288"/>
    <s v="oman"/>
    <n v="5"/>
    <b v="1"/>
    <s v="ala212009"/>
    <n v="2.4560499999999998"/>
  </r>
  <r>
    <x v="6"/>
    <x v="5"/>
    <s v="AlAqah"/>
    <s v="t2"/>
    <s v="ala21_t2"/>
    <n v="1.284"/>
    <n v="0.64080000000000004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5"/>
    <b v="1"/>
    <s v="ala212010"/>
    <n v="3.13645"/>
  </r>
  <r>
    <x v="6"/>
    <x v="5"/>
    <s v="AlAqah"/>
    <s v="t1"/>
    <s v="ala21_t1"/>
    <n v="1.4510000000000001"/>
    <n v="0.72"/>
    <n v="32.361147540983602"/>
    <n v="23.751639344262301"/>
    <n v="0.33922057881693501"/>
    <n v="6.7196526320121894E-2"/>
    <n v="0.395613862078735"/>
    <n v="-2.2425978515866099E-2"/>
    <n v="0.13049180327868901"/>
    <n v="7.4043821023053596E-2"/>
    <n v="0.15691803278688499"/>
    <n v="5.4812193011521099E-2"/>
    <n v="40"/>
    <n v="282"/>
    <s v="oman"/>
    <n v="5"/>
    <b v="1"/>
    <s v="ala212010"/>
    <n v="3.13645"/>
  </r>
  <r>
    <x v="6"/>
    <x v="6"/>
    <s v="AlAqah"/>
    <s v="t2"/>
    <s v="ala21_t2"/>
    <n v="1.2370000000000001"/>
    <n v="0.66090000000000004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5"/>
    <b v="1"/>
    <s v="ala212011"/>
    <n v="3.7719"/>
  </r>
  <r>
    <x v="6"/>
    <x v="6"/>
    <s v="AlAqah"/>
    <s v="t1"/>
    <s v="ala21_t1"/>
    <n v="1.131"/>
    <n v="0.61"/>
    <n v="32.379672131147501"/>
    <n v="23.184590163934399"/>
    <n v="0.46744901244410902"/>
    <n v="0.10400716137794799"/>
    <n v="0.37648801314745201"/>
    <n v="-1.6271473844507601E-2"/>
    <n v="0.11842622950819701"/>
    <n v="6.3296776910148594E-2"/>
    <n v="0.13445901639344299"/>
    <n v="5.4413715725140401E-2"/>
    <n v="66"/>
    <n v="284"/>
    <s v="oman"/>
    <n v="5"/>
    <b v="1"/>
    <s v="ala212011"/>
    <n v="3.7719"/>
  </r>
  <r>
    <x v="6"/>
    <x v="7"/>
    <s v="AlAqah"/>
    <s v="t2"/>
    <s v="ala21_t2"/>
    <n v="0.99"/>
    <n v="0.58020000000000005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5"/>
    <b v="1"/>
    <s v="ala212012"/>
    <n v="4.3494999999999999"/>
  </r>
  <r>
    <x v="6"/>
    <x v="7"/>
    <s v="AlAqah"/>
    <s v="t1"/>
    <s v="ala21_t1"/>
    <n v="1.087"/>
    <n v="0.57499999999999996"/>
    <n v="32.457213114754097"/>
    <n v="22.738032786885199"/>
    <n v="0.40453602918294401"/>
    <n v="0.10766530847429701"/>
    <n v="0.50849166216547104"/>
    <n v="-1.9370621887475702E-2"/>
    <n v="0.153"/>
    <n v="9.7148854856863906E-2"/>
    <n v="0.104622950819672"/>
    <n v="7.0525447873900193E-2"/>
    <n v="80"/>
    <n v="303"/>
    <s v="oman"/>
    <n v="5"/>
    <b v="1"/>
    <s v="ala212012"/>
    <n v="4.3494999999999999"/>
  </r>
  <r>
    <x v="6"/>
    <x v="8"/>
    <s v="AlAqah"/>
    <s v="t2"/>
    <s v="ala21_t2"/>
    <n v="1.1579999999999999"/>
    <n v="0.66600000000000004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5"/>
    <b v="1"/>
    <s v="ala212013"/>
    <n v="5"/>
  </r>
  <r>
    <x v="6"/>
    <x v="8"/>
    <s v="AlAqah"/>
    <s v="t1"/>
    <s v="ala21_t1"/>
    <n v="1.169"/>
    <n v="0.63500000000000001"/>
    <n v="31.3567213114754"/>
    <n v="23.2506557377049"/>
    <n v="0.44602641495939399"/>
    <n v="5.6466395028192902E-2"/>
    <n v="0.64019455717637197"/>
    <n v="-2.3638967773799199E-2"/>
    <n v="0.11712500000000001"/>
    <n v="7.4318494578157604E-2"/>
    <n v="8.9781818181818199E-2"/>
    <n v="4.7037688163260198E-2"/>
    <n v="40"/>
    <n v="257"/>
    <s v="oman"/>
    <n v="5"/>
    <b v="1"/>
    <s v="ala212013"/>
    <n v="5"/>
  </r>
  <r>
    <x v="7"/>
    <x v="11"/>
    <s v="Delma"/>
    <s v="t2"/>
    <s v="del01_t2"/>
    <n v="0.747"/>
    <n v="0.47420000000000001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7"/>
    <b v="1"/>
    <s v="del012004"/>
    <n v="1.9850500000000002"/>
  </r>
  <r>
    <x v="7"/>
    <x v="11"/>
    <s v="Delma"/>
    <s v="t1"/>
    <s v="del01_t1"/>
    <n v="0.33100000000000002"/>
    <n v="0.217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7"/>
    <b v="1"/>
    <s v="del012004"/>
    <n v="1.9850500000000002"/>
  </r>
  <r>
    <x v="7"/>
    <x v="0"/>
    <s v="Delma"/>
    <s v="t1"/>
    <s v="del01_t1"/>
    <n v="0.73799999999999999"/>
    <n v="0.55489999999999995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7"/>
    <b v="1"/>
    <s v="del012005"/>
    <n v="2.4744000000000002"/>
  </r>
  <r>
    <x v="7"/>
    <x v="0"/>
    <s v="Delma"/>
    <s v="t2"/>
    <s v="del01_t2"/>
    <n v="0.58899999999999997"/>
    <n v="0.42380000000000001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7"/>
    <b v="1"/>
    <s v="del012005"/>
    <n v="2.4744000000000002"/>
  </r>
  <r>
    <x v="7"/>
    <x v="1"/>
    <s v="Delma"/>
    <s v="t2"/>
    <s v="del01_t2"/>
    <n v="0.42299999999999999"/>
    <n v="0.36330000000000001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7"/>
    <b v="1"/>
    <s v="del012006"/>
    <n v="2.8906500000000004"/>
  </r>
  <r>
    <x v="7"/>
    <x v="1"/>
    <s v="Delma"/>
    <s v="t1"/>
    <s v="del01_t1"/>
    <n v="0.65500000000000003"/>
    <n v="0.46920000000000001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7"/>
    <b v="1"/>
    <s v="del012006"/>
    <n v="2.8906500000000004"/>
  </r>
  <r>
    <x v="7"/>
    <x v="2"/>
    <s v="Delma"/>
    <s v="t2"/>
    <s v="del01_t2"/>
    <n v="0.80900000000000005"/>
    <n v="0.78200000000000003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7"/>
    <b v="1"/>
    <s v="del012007"/>
    <n v="3.6777500000000005"/>
  </r>
  <r>
    <x v="7"/>
    <x v="2"/>
    <s v="Delma"/>
    <s v="t1"/>
    <s v="del01_t1"/>
    <n v="1.02"/>
    <n v="0.79220000000000002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7"/>
    <b v="1"/>
    <s v="del012007"/>
    <n v="3.6777500000000005"/>
  </r>
  <r>
    <x v="7"/>
    <x v="3"/>
    <s v="Delma"/>
    <s v="t2"/>
    <s v="del01_t2"/>
    <n v="0.504"/>
    <n v="0.4743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7"/>
    <b v="1"/>
    <s v="del012008"/>
    <n v="4.2277000000000005"/>
  </r>
  <r>
    <x v="7"/>
    <x v="3"/>
    <s v="Delma"/>
    <s v="t1"/>
    <s v="del01_t1"/>
    <n v="0.752"/>
    <n v="0.62560000000000004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7"/>
    <b v="1"/>
    <s v="del012008"/>
    <n v="4.2277000000000005"/>
  </r>
  <r>
    <x v="7"/>
    <x v="4"/>
    <s v="Delma"/>
    <s v="t1"/>
    <s v="del01_t1"/>
    <n v="0.86099999999999999"/>
    <n v="0.76180000000000003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7"/>
    <b v="1"/>
    <s v="del012009"/>
    <n v="5.1131000000000002"/>
  </r>
  <r>
    <x v="7"/>
    <x v="4"/>
    <s v="Delma"/>
    <s v="t2"/>
    <s v="del01_t2"/>
    <n v="1.1830000000000001"/>
    <n v="1.0089999999999999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7"/>
    <b v="1"/>
    <s v="del012009"/>
    <n v="5.1131000000000002"/>
  </r>
  <r>
    <x v="7"/>
    <x v="5"/>
    <s v="Delma"/>
    <s v="t2"/>
    <s v="del01_t2"/>
    <n v="0.44400000000000001"/>
    <n v="0.38350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7"/>
    <b v="1"/>
    <s v="del012010"/>
    <n v="5.4763999999999999"/>
  </r>
  <r>
    <x v="7"/>
    <x v="5"/>
    <s v="Delma"/>
    <s v="t1"/>
    <s v="del01_t1"/>
    <n v="0.40899999999999997"/>
    <n v="0.34310000000000002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7"/>
    <b v="1"/>
    <s v="del012010"/>
    <n v="5.4763999999999999"/>
  </r>
  <r>
    <x v="7"/>
    <x v="6"/>
    <s v="Delma"/>
    <s v="t1"/>
    <s v="del01_t1"/>
    <n v="0.67500000000000004"/>
    <n v="0.63060000000000005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7"/>
    <b v="1"/>
    <s v="del012011"/>
    <n v="6.0136500000000002"/>
  </r>
  <r>
    <x v="7"/>
    <x v="6"/>
    <s v="Delma"/>
    <s v="t2"/>
    <s v="del01_t2"/>
    <n v="0.45800000000000002"/>
    <n v="0.44390000000000002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7"/>
    <b v="1"/>
    <s v="del012011"/>
    <n v="6.0136500000000002"/>
  </r>
  <r>
    <x v="7"/>
    <x v="7"/>
    <s v="Delma"/>
    <s v="t1"/>
    <s v="del01_t1"/>
    <n v="0.71799999999999997"/>
    <n v="0.63570000000000004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7"/>
    <b v="1"/>
    <s v="del012012"/>
    <n v="6.6871999999999998"/>
  </r>
  <r>
    <x v="7"/>
    <x v="7"/>
    <s v="Delma"/>
    <s v="t2"/>
    <s v="del01_t2"/>
    <n v="0.69299999999999995"/>
    <n v="0.7114000000000000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7"/>
    <b v="1"/>
    <s v="del012012"/>
    <n v="6.6871999999999998"/>
  </r>
  <r>
    <x v="7"/>
    <x v="8"/>
    <s v="Delma"/>
    <s v="t1"/>
    <s v="del01_t1"/>
    <n v="0.36"/>
    <n v="0.31280000000000002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7"/>
    <b v="1"/>
    <s v="del012013"/>
    <n v="7"/>
  </r>
  <r>
    <x v="8"/>
    <x v="11"/>
    <s v="Delma"/>
    <s v="t2"/>
    <s v="del07_t2"/>
    <n v="0.879"/>
    <n v="0.64580000000000004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10"/>
    <b v="1"/>
    <s v="del072004"/>
    <n v="4.5324999999999989"/>
  </r>
  <r>
    <x v="8"/>
    <x v="11"/>
    <s v="Delma"/>
    <s v="t1"/>
    <s v="del07_t1"/>
    <n v="0.75600000000000001"/>
    <n v="0.57499999999999996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10"/>
    <b v="1"/>
    <s v="del072004"/>
    <n v="4.5324999999999989"/>
  </r>
  <r>
    <x v="8"/>
    <x v="0"/>
    <s v="Delma"/>
    <s v="t2"/>
    <s v="del07_t2"/>
    <n v="0.89400000000000002"/>
    <n v="0.67100000000000004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10"/>
    <b v="1"/>
    <s v="del072005"/>
    <n v="5.2954999999999988"/>
  </r>
  <r>
    <x v="8"/>
    <x v="0"/>
    <s v="Delma"/>
    <s v="t1"/>
    <s v="del07_t1"/>
    <n v="0.98499999999999999"/>
    <n v="0.85499999999999998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10"/>
    <b v="1"/>
    <s v="del072005"/>
    <n v="5.2954999999999988"/>
  </r>
  <r>
    <x v="8"/>
    <x v="1"/>
    <s v="Delma"/>
    <s v="t2"/>
    <s v="del07_t2"/>
    <n v="0.5"/>
    <n v="0.32800000000000001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10"/>
    <b v="1"/>
    <s v="del072006"/>
    <n v="5.706999999999999"/>
  </r>
  <r>
    <x v="8"/>
    <x v="1"/>
    <s v="Delma"/>
    <s v="t1"/>
    <s v="del07_t1"/>
    <n v="0.66800000000000004"/>
    <n v="0.495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10"/>
    <b v="1"/>
    <s v="del072006"/>
    <n v="5.706999999999999"/>
  </r>
  <r>
    <x v="8"/>
    <x v="2"/>
    <s v="Delma"/>
    <s v="t1"/>
    <s v="del07_t1"/>
    <n v="1.0780000000000001"/>
    <n v="0.87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10"/>
    <b v="1"/>
    <s v="del072007"/>
    <n v="6.3589499999999992"/>
  </r>
  <r>
    <x v="8"/>
    <x v="2"/>
    <s v="Delma"/>
    <s v="t2"/>
    <s v="del07_t2"/>
    <n v="0.72699999999999998"/>
    <n v="0.43390000000000001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10"/>
    <b v="1"/>
    <s v="del072007"/>
    <n v="6.3589499999999992"/>
  </r>
  <r>
    <x v="8"/>
    <x v="3"/>
    <s v="Delma"/>
    <s v="t2"/>
    <s v="del07_t2"/>
    <n v="0.53300000000000003"/>
    <n v="0.26229999999999998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10"/>
    <b v="1"/>
    <s v="del072008"/>
    <n v="6.7975999999999992"/>
  </r>
  <r>
    <x v="8"/>
    <x v="3"/>
    <s v="Delma"/>
    <s v="t1"/>
    <s v="del07_t1"/>
    <n v="0.88"/>
    <n v="0.61499999999999999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10"/>
    <b v="1"/>
    <s v="del072008"/>
    <n v="6.7975999999999992"/>
  </r>
  <r>
    <x v="8"/>
    <x v="4"/>
    <s v="Delma"/>
    <s v="t1"/>
    <s v="del07_t1"/>
    <n v="1.129"/>
    <n v="0.77500000000000002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10"/>
    <b v="1"/>
    <s v="del072009"/>
    <n v="7.6114499999999996"/>
  </r>
  <r>
    <x v="8"/>
    <x v="4"/>
    <s v="Delma"/>
    <s v="t2"/>
    <s v="del07_t2"/>
    <n v="1.431"/>
    <n v="0.8527000000000000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10"/>
    <b v="1"/>
    <s v="del072009"/>
    <n v="7.6114499999999996"/>
  </r>
  <r>
    <x v="8"/>
    <x v="5"/>
    <s v="Delma"/>
    <s v="t1"/>
    <s v="del07_t1"/>
    <n v="1.1499999999999999"/>
    <n v="0.65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10"/>
    <b v="1"/>
    <s v="del072010"/>
    <n v="8.1710499999999993"/>
  </r>
  <r>
    <x v="8"/>
    <x v="5"/>
    <s v="Delma"/>
    <s v="t2"/>
    <s v="del07_t2"/>
    <n v="0.77200000000000002"/>
    <n v="0.46920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10"/>
    <b v="1"/>
    <s v="del072010"/>
    <n v="8.1710499999999993"/>
  </r>
  <r>
    <x v="8"/>
    <x v="6"/>
    <s v="Delma"/>
    <s v="t1"/>
    <s v="del07_t1"/>
    <n v="1.2370000000000001"/>
    <n v="0.72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10"/>
    <b v="1"/>
    <s v="del072011"/>
    <n v="8.7479999999999993"/>
  </r>
  <r>
    <x v="8"/>
    <x v="6"/>
    <s v="Delma"/>
    <s v="t2"/>
    <s v="del07_t2"/>
    <n v="0.81799999999999995"/>
    <n v="0.43390000000000001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10"/>
    <b v="1"/>
    <s v="del072011"/>
    <n v="8.7479999999999993"/>
  </r>
  <r>
    <x v="8"/>
    <x v="7"/>
    <s v="Delma"/>
    <s v="t2"/>
    <s v="del07_t2"/>
    <n v="0.94899999999999995"/>
    <n v="0.54990000000000006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10"/>
    <b v="1"/>
    <s v="del072012"/>
    <n v="9.3029499999999992"/>
  </r>
  <r>
    <x v="8"/>
    <x v="7"/>
    <s v="Delma"/>
    <s v="t1"/>
    <s v="del07_t1"/>
    <n v="1.1339999999999999"/>
    <n v="0.56000000000000005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10"/>
    <b v="1"/>
    <s v="del072012"/>
    <n v="9.3029499999999992"/>
  </r>
  <r>
    <x v="8"/>
    <x v="8"/>
    <s v="Delma"/>
    <s v="t2"/>
    <s v="del07_t2"/>
    <n v="0.746"/>
    <n v="0.45910000000000001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10"/>
    <b v="1"/>
    <s v="del072013"/>
    <n v="10"/>
  </r>
  <r>
    <x v="8"/>
    <x v="8"/>
    <s v="Delma"/>
    <s v="t1"/>
    <s v="del07_t1"/>
    <n v="1.647"/>
    <n v="0.9350000000000000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10"/>
    <b v="1"/>
    <s v="del072013"/>
    <n v="10"/>
  </r>
  <r>
    <x v="9"/>
    <x v="0"/>
    <s v="Delma"/>
    <s v="t2"/>
    <s v="del08_t2"/>
    <n v="0.626"/>
    <n v="0.42380000000000001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8"/>
    <b v="1"/>
    <s v="del082005"/>
    <n v="1.9684500000000005"/>
  </r>
  <r>
    <x v="9"/>
    <x v="1"/>
    <s v="Delma"/>
    <s v="t2"/>
    <s v="del08_t2"/>
    <n v="0.66100000000000003"/>
    <n v="0.49440000000000001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8"/>
    <b v="1"/>
    <s v="del082006"/>
    <n v="2.4628500000000004"/>
  </r>
  <r>
    <x v="9"/>
    <x v="2"/>
    <s v="Delma"/>
    <s v="t2"/>
    <s v="del08_t2"/>
    <n v="0.44400000000000001"/>
    <n v="0.31280000000000002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8"/>
    <b v="1"/>
    <s v="del082007"/>
    <n v="2.7756500000000006"/>
  </r>
  <r>
    <x v="9"/>
    <x v="3"/>
    <s v="Delma"/>
    <s v="t1"/>
    <s v="del08_t1"/>
    <n v="1.1839999999999999"/>
    <n v="1.0898000000000001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8"/>
    <b v="1"/>
    <s v="del082008"/>
    <n v="3.9310000000000009"/>
  </r>
  <r>
    <x v="9"/>
    <x v="3"/>
    <s v="Delma"/>
    <s v="t2"/>
    <s v="del08_t2"/>
    <n v="1.5289999999999999"/>
    <n v="1.2209000000000001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8"/>
    <b v="1"/>
    <s v="del082008"/>
    <n v="3.9310000000000009"/>
  </r>
  <r>
    <x v="9"/>
    <x v="4"/>
    <s v="Delma"/>
    <s v="t2"/>
    <s v="del08_t2"/>
    <n v="1.0609999999999999"/>
    <n v="0.8275000000000000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8"/>
    <b v="1"/>
    <s v="del082009"/>
    <n v="4.8644000000000007"/>
  </r>
  <r>
    <x v="9"/>
    <x v="4"/>
    <s v="Delma"/>
    <s v="t1"/>
    <s v="del08_t1"/>
    <n v="1.042"/>
    <n v="1.0392999999999999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8"/>
    <b v="1"/>
    <s v="del082009"/>
    <n v="4.8644000000000007"/>
  </r>
  <r>
    <x v="9"/>
    <x v="5"/>
    <s v="Delma"/>
    <s v="t2"/>
    <s v="del08_t2"/>
    <n v="1.456"/>
    <n v="1.0696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8"/>
    <b v="1"/>
    <s v="del082010"/>
    <n v="5.8633500000000005"/>
  </r>
  <r>
    <x v="9"/>
    <x v="5"/>
    <s v="Delma"/>
    <s v="t1"/>
    <s v="del08_t1"/>
    <n v="0.88500000000000001"/>
    <n v="0.92830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8"/>
    <b v="1"/>
    <s v="del082010"/>
    <n v="5.8633500000000005"/>
  </r>
  <r>
    <x v="9"/>
    <x v="6"/>
    <s v="Delma"/>
    <s v="t1"/>
    <s v="del08_t1"/>
    <n v="0.86499999999999999"/>
    <n v="0.84260000000000002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8"/>
    <b v="1"/>
    <s v="del082011"/>
    <n v="6.5621"/>
  </r>
  <r>
    <x v="9"/>
    <x v="6"/>
    <s v="Delma"/>
    <s v="t2"/>
    <s v="del08_t2"/>
    <n v="0.86099999999999999"/>
    <n v="0.55489999999999995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8"/>
    <b v="1"/>
    <s v="del082011"/>
    <n v="6.5621"/>
  </r>
  <r>
    <x v="9"/>
    <x v="7"/>
    <s v="Delma"/>
    <s v="t1"/>
    <s v="del08_t1"/>
    <n v="0.83699999999999997"/>
    <n v="0.7870000000000000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8"/>
    <b v="1"/>
    <s v="del082012"/>
    <n v="7.2431999999999999"/>
  </r>
  <r>
    <x v="9"/>
    <x v="7"/>
    <s v="Delma"/>
    <s v="t2"/>
    <s v="del08_t2"/>
    <n v="0.94799999999999995"/>
    <n v="0.57520000000000004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8"/>
    <b v="1"/>
    <s v="del082012"/>
    <n v="7.2431999999999999"/>
  </r>
  <r>
    <x v="9"/>
    <x v="8"/>
    <s v="Delma"/>
    <s v="t1"/>
    <s v="del08_t1"/>
    <n v="0.86899999999999999"/>
    <n v="0.92330000000000001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8"/>
    <b v="1"/>
    <s v="del082013"/>
    <n v="8"/>
  </r>
  <r>
    <x v="9"/>
    <x v="8"/>
    <s v="Delma"/>
    <s v="t2"/>
    <s v="del08_t2"/>
    <n v="0.92300000000000004"/>
    <n v="0.5903000000000000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8"/>
    <b v="1"/>
    <s v="del082013"/>
    <n v="8"/>
  </r>
  <r>
    <x v="10"/>
    <x v="10"/>
    <s v="Delma"/>
    <s v="t2"/>
    <s v="del09_t2"/>
    <n v="0.68300000000000005"/>
    <n v="0.38850000000000001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n v="6"/>
    <b v="1"/>
    <s v="del092003"/>
    <n v="1.6181999999999981"/>
  </r>
  <r>
    <x v="10"/>
    <x v="10"/>
    <s v="Delma"/>
    <s v="t1"/>
    <s v="del09_t1"/>
    <n v="0.46500000000000002"/>
    <n v="0.37340000000000001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n v="6"/>
    <b v="1"/>
    <s v="del092003"/>
    <n v="1.6181999999999981"/>
  </r>
  <r>
    <x v="10"/>
    <x v="11"/>
    <s v="Delma"/>
    <s v="t2"/>
    <s v="del09_t2"/>
    <n v="0.59699999999999998"/>
    <n v="0.37330000000000002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6"/>
    <b v="1"/>
    <s v="del092004"/>
    <n v="2.0394499999999982"/>
  </r>
  <r>
    <x v="10"/>
    <x v="11"/>
    <s v="Delma"/>
    <s v="t1"/>
    <s v="del09_t1"/>
    <n v="0.56100000000000005"/>
    <n v="0.46920000000000001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6"/>
    <b v="1"/>
    <s v="del092004"/>
    <n v="2.0394499999999982"/>
  </r>
  <r>
    <x v="10"/>
    <x v="0"/>
    <s v="Delma"/>
    <s v="t2"/>
    <s v="del09_t2"/>
    <n v="0.62"/>
    <n v="0.4945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6"/>
    <b v="1"/>
    <s v="del092005"/>
    <n v="2.6146499999999984"/>
  </r>
  <r>
    <x v="10"/>
    <x v="0"/>
    <s v="Delma"/>
    <s v="t1"/>
    <s v="del09_t1"/>
    <n v="0.82099999999999995"/>
    <n v="0.65590000000000004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6"/>
    <b v="1"/>
    <s v="del092005"/>
    <n v="2.6146499999999984"/>
  </r>
  <r>
    <x v="10"/>
    <x v="1"/>
    <s v="Delma"/>
    <s v="t2"/>
    <s v="del09_t2"/>
    <n v="0.76500000000000001"/>
    <n v="0.65080000000000005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6"/>
    <b v="1"/>
    <s v="del092006"/>
    <n v="3.2553499999999986"/>
  </r>
  <r>
    <x v="10"/>
    <x v="1"/>
    <s v="Delma"/>
    <s v="t1"/>
    <s v="del09_t1"/>
    <n v="0.82499999999999996"/>
    <n v="0.63060000000000005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6"/>
    <b v="1"/>
    <s v="del092006"/>
    <n v="3.2553499999999986"/>
  </r>
  <r>
    <x v="10"/>
    <x v="2"/>
    <s v="Delma"/>
    <s v="t1"/>
    <s v="del09_t1"/>
    <n v="0.64100000000000001"/>
    <n v="0.42380000000000001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6"/>
    <b v="1"/>
    <s v="del092007"/>
    <n v="3.5883499999999988"/>
  </r>
  <r>
    <x v="10"/>
    <x v="2"/>
    <s v="Delma"/>
    <s v="t2"/>
    <s v="del09_t2"/>
    <n v="0.318"/>
    <n v="0.2422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6"/>
    <b v="1"/>
    <s v="del092007"/>
    <n v="3.5883499999999988"/>
  </r>
  <r>
    <x v="10"/>
    <x v="3"/>
    <s v="Delma"/>
    <s v="t2"/>
    <s v="del09_t2"/>
    <n v="0.69099999999999995"/>
    <n v="0.4793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6"/>
    <b v="1"/>
    <s v="del092008"/>
    <n v="4.0096499999999988"/>
  </r>
  <r>
    <x v="10"/>
    <x v="3"/>
    <s v="Delma"/>
    <s v="t1"/>
    <s v="del09_t1"/>
    <n v="0.58299999999999996"/>
    <n v="0.36330000000000001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6"/>
    <b v="1"/>
    <s v="del092008"/>
    <n v="4.0096499999999988"/>
  </r>
  <r>
    <x v="10"/>
    <x v="4"/>
    <s v="Delma"/>
    <s v="t1"/>
    <s v="del09_t1"/>
    <n v="0.52900000000000003"/>
    <n v="0.33300000000000002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6"/>
    <b v="1"/>
    <s v="del092009"/>
    <n v="4.3905499999999993"/>
  </r>
  <r>
    <x v="10"/>
    <x v="4"/>
    <s v="Delma"/>
    <s v="t2"/>
    <s v="del09_t2"/>
    <n v="0.624"/>
    <n v="0.4288000000000000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6"/>
    <b v="1"/>
    <s v="del092009"/>
    <n v="4.3905499999999993"/>
  </r>
  <r>
    <x v="10"/>
    <x v="5"/>
    <s v="Delma"/>
    <s v="t2"/>
    <s v="del09_t2"/>
    <n v="0.65500000000000003"/>
    <n v="0.46920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6"/>
    <b v="1"/>
    <s v="del092010"/>
    <n v="4.8370499999999996"/>
  </r>
  <r>
    <x v="10"/>
    <x v="5"/>
    <s v="Delma"/>
    <s v="t1"/>
    <s v="del09_t1"/>
    <n v="0.63600000000000001"/>
    <n v="0.42380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6"/>
    <b v="1"/>
    <s v="del092010"/>
    <n v="4.8370499999999996"/>
  </r>
  <r>
    <x v="10"/>
    <x v="6"/>
    <s v="Delma"/>
    <s v="t2"/>
    <s v="del09_t2"/>
    <n v="0.42499999999999999"/>
    <n v="0.27250000000000002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6"/>
    <b v="1"/>
    <s v="del092011"/>
    <n v="5.07925"/>
  </r>
  <r>
    <x v="10"/>
    <x v="6"/>
    <s v="Delma"/>
    <s v="t1"/>
    <s v="del09_t1"/>
    <n v="0.373"/>
    <n v="0.21190000000000001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6"/>
    <b v="1"/>
    <s v="del092011"/>
    <n v="5.07925"/>
  </r>
  <r>
    <x v="10"/>
    <x v="7"/>
    <s v="Delma"/>
    <s v="t1"/>
    <s v="del09_t1"/>
    <n v="0.51400000000000001"/>
    <n v="0.27239999999999998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6"/>
    <b v="1"/>
    <s v="del092012"/>
    <n v="5.3617499999999998"/>
  </r>
  <r>
    <x v="10"/>
    <x v="7"/>
    <s v="Delma"/>
    <s v="t2"/>
    <s v="del09_t2"/>
    <n v="0.46899999999999997"/>
    <n v="0.2926000000000000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6"/>
    <b v="1"/>
    <s v="del092012"/>
    <n v="5.3617499999999998"/>
  </r>
  <r>
    <x v="10"/>
    <x v="8"/>
    <s v="Delma"/>
    <s v="t1"/>
    <s v="del09_t1"/>
    <n v="1.2569999999999999"/>
    <n v="0.72150000000000003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6"/>
    <b v="1"/>
    <s v="del092013"/>
    <n v="6"/>
  </r>
  <r>
    <x v="10"/>
    <x v="8"/>
    <s v="Delma"/>
    <s v="t2"/>
    <s v="del09_t2"/>
    <n v="0.93"/>
    <n v="0.5550000000000000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6"/>
    <b v="1"/>
    <s v="del092013"/>
    <n v="6"/>
  </r>
  <r>
    <x v="11"/>
    <x v="11"/>
    <s v="Delma"/>
    <s v="t1"/>
    <s v="del12_t1"/>
    <n v="0.93200000000000005"/>
    <n v="0.71640000000000004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12"/>
    <b v="1"/>
    <s v="del122004"/>
    <n v="4.9970999999999988"/>
  </r>
  <r>
    <x v="11"/>
    <x v="0"/>
    <s v="Delma"/>
    <s v="t1"/>
    <s v="del12_t1"/>
    <n v="0.75700000000000001"/>
    <n v="0.63070000000000004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12"/>
    <b v="1"/>
    <s v="del122005"/>
    <n v="5.6277999999999988"/>
  </r>
  <r>
    <x v="11"/>
    <x v="1"/>
    <s v="Delma"/>
    <s v="t2"/>
    <s v="del12_t2"/>
    <n v="1.464"/>
    <n v="1.1403000000000001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12"/>
    <b v="1"/>
    <s v="del122006"/>
    <n v="6.4300499999999987"/>
  </r>
  <r>
    <x v="11"/>
    <x v="1"/>
    <s v="Delma"/>
    <s v="t1"/>
    <s v="del12_t1"/>
    <n v="0.54100000000000004"/>
    <n v="0.4642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12"/>
    <b v="1"/>
    <s v="del122006"/>
    <n v="6.4300499999999987"/>
  </r>
  <r>
    <x v="11"/>
    <x v="2"/>
    <s v="Delma"/>
    <s v="t2"/>
    <s v="del12_t2"/>
    <n v="1.238"/>
    <n v="0.99390000000000001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12"/>
    <b v="1"/>
    <s v="del122007"/>
    <n v="7.2397999999999989"/>
  </r>
  <r>
    <x v="11"/>
    <x v="2"/>
    <s v="Delma"/>
    <s v="t1"/>
    <s v="del12_t1"/>
    <n v="0.66"/>
    <n v="0.62560000000000004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12"/>
    <b v="1"/>
    <s v="del122007"/>
    <n v="7.2397999999999989"/>
  </r>
  <r>
    <x v="11"/>
    <x v="3"/>
    <s v="Delma"/>
    <s v="t1"/>
    <s v="del12_t1"/>
    <n v="0.88800000000000001"/>
    <n v="0.70630000000000004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12"/>
    <b v="1"/>
    <s v="del122008"/>
    <n v="8.0848499999999994"/>
  </r>
  <r>
    <x v="11"/>
    <x v="3"/>
    <s v="Delma"/>
    <s v="t2"/>
    <s v="del12_t2"/>
    <n v="1.077"/>
    <n v="0.98380000000000001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12"/>
    <b v="1"/>
    <s v="del122008"/>
    <n v="8.0848499999999994"/>
  </r>
  <r>
    <x v="11"/>
    <x v="4"/>
    <s v="Delma"/>
    <s v="t2"/>
    <s v="del12_t2"/>
    <n v="0.85499999999999998"/>
    <n v="0.79720000000000002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12"/>
    <b v="1"/>
    <s v="del122009"/>
    <n v="8.8819999999999997"/>
  </r>
  <r>
    <x v="11"/>
    <x v="4"/>
    <s v="Delma"/>
    <s v="t1"/>
    <s v="del12_t1"/>
    <n v="1.0389999999999999"/>
    <n v="0.79710000000000003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12"/>
    <b v="1"/>
    <s v="del122009"/>
    <n v="8.8819999999999997"/>
  </r>
  <r>
    <x v="11"/>
    <x v="5"/>
    <s v="Delma"/>
    <s v="t1"/>
    <s v="del12_t1"/>
    <n v="1.3080000000000001"/>
    <n v="1.0747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12"/>
    <b v="1"/>
    <s v="del122010"/>
    <n v="9.7119499999999999"/>
  </r>
  <r>
    <x v="11"/>
    <x v="5"/>
    <s v="Delma"/>
    <s v="t2"/>
    <s v="del12_t2"/>
    <n v="0.625"/>
    <n v="0.58520000000000005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12"/>
    <b v="1"/>
    <s v="del122010"/>
    <n v="9.7119499999999999"/>
  </r>
  <r>
    <x v="11"/>
    <x v="6"/>
    <s v="Delma"/>
    <s v="t2"/>
    <s v="del12_t2"/>
    <n v="0.66700000000000004"/>
    <n v="0.58520000000000005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12"/>
    <b v="1"/>
    <s v="del122011"/>
    <n v="10.577199999999999"/>
  </r>
  <r>
    <x v="11"/>
    <x v="6"/>
    <s v="Delma"/>
    <s v="t1"/>
    <s v="del12_t1"/>
    <n v="1.3680000000000001"/>
    <n v="1.1453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12"/>
    <b v="1"/>
    <s v="del122011"/>
    <n v="10.577199999999999"/>
  </r>
  <r>
    <x v="11"/>
    <x v="7"/>
    <s v="Delma"/>
    <s v="t2"/>
    <s v="del12_t2"/>
    <n v="0.72099999999999997"/>
    <n v="0.6711000000000000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12"/>
    <b v="1"/>
    <s v="del122012"/>
    <n v="11.31635"/>
  </r>
  <r>
    <x v="11"/>
    <x v="7"/>
    <s v="Delma"/>
    <s v="t1"/>
    <s v="del12_t1"/>
    <n v="1.069"/>
    <n v="0.80720000000000003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12"/>
    <b v="1"/>
    <s v="del122012"/>
    <n v="11.31635"/>
  </r>
  <r>
    <x v="11"/>
    <x v="8"/>
    <s v="Delma"/>
    <s v="t2"/>
    <s v="del12_t2"/>
    <n v="0.58399999999999996"/>
    <n v="0.58020000000000005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12"/>
    <b v="1"/>
    <s v="del122013"/>
    <n v="12"/>
  </r>
  <r>
    <x v="11"/>
    <x v="8"/>
    <s v="Delma"/>
    <s v="t1"/>
    <s v="del12_t1"/>
    <n v="1.1279999999999999"/>
    <n v="0.78710000000000002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12"/>
    <b v="1"/>
    <s v="del122013"/>
    <n v="12"/>
  </r>
  <r>
    <x v="12"/>
    <x v="9"/>
    <s v="Delma"/>
    <s v="t1"/>
    <s v="del20_t1"/>
    <n v="0.59399999999999997"/>
    <n v="0.45910000000000001"/>
    <n v="34.003114754098398"/>
    <n v="20.1475409836066"/>
    <n v="0.715559584608915"/>
    <n v="8.1766802485903706E-2"/>
    <n v="0.38134210792763101"/>
    <n v="-3.7236202000247E-2"/>
    <n v="8.4688524590163905E-2"/>
    <n v="5.0604855163513901E-2"/>
    <n v="5.1524590163934403E-2"/>
    <n v="2.7714981843386301E-2"/>
    <n v="34"/>
    <n v="304"/>
    <s v="gulf"/>
    <n v="9"/>
    <b v="1"/>
    <s v="del202002"/>
    <n v="2.3755999999999986"/>
  </r>
  <r>
    <x v="12"/>
    <x v="10"/>
    <s v="Delma"/>
    <s v="t1"/>
    <s v="del20_t1"/>
    <n v="1.3360000000000001"/>
    <n v="1.1352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n v="9"/>
    <b v="1"/>
    <s v="del202003"/>
    <n v="3.1374499999999985"/>
  </r>
  <r>
    <x v="12"/>
    <x v="10"/>
    <s v="Delma"/>
    <s v="t2"/>
    <s v="del20_t2"/>
    <n v="0.34699999999999998"/>
    <n v="0.38850000000000001"/>
    <n v="34.134262295082003"/>
    <n v="20.295245901639301"/>
    <n v="0.356471628405296"/>
    <n v="5.85079639461661E-2"/>
    <n v="0.565910649650612"/>
    <n v="-8.0378235996213507E-2"/>
    <n v="7.8131147540983603E-2"/>
    <n v="4.4963123931297297E-2"/>
    <n v="6.4901639344262296E-2"/>
    <n v="2.9040606581149299E-2"/>
    <n v="29"/>
    <n v="323"/>
    <s v="gulf"/>
    <n v="9"/>
    <b v="1"/>
    <s v="del202003"/>
    <n v="3.1374499999999985"/>
  </r>
  <r>
    <x v="12"/>
    <x v="11"/>
    <s v="Delma"/>
    <s v="t1"/>
    <s v="del20_t1"/>
    <n v="0.63500000000000001"/>
    <n v="0.55489999999999995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9"/>
    <b v="1"/>
    <s v="del202004"/>
    <n v="3.6595999999999984"/>
  </r>
  <r>
    <x v="12"/>
    <x v="11"/>
    <s v="Delma"/>
    <s v="t2"/>
    <s v="del20_t2"/>
    <n v="0.53400000000000003"/>
    <n v="0.4894"/>
    <n v="34.041147540983602"/>
    <n v="21.206885245901599"/>
    <n v="0.54430243120164501"/>
    <n v="7.3127793554759901E-2"/>
    <n v="0.45172668123049697"/>
    <n v="-3.4871383298349698E-2"/>
    <n v="8.1557377049180299E-2"/>
    <n v="4.4901196936594001E-2"/>
    <n v="6.6393442622950799E-2"/>
    <n v="3.1561727185799297E-2"/>
    <n v="49"/>
    <n v="296"/>
    <s v="gulf"/>
    <n v="9"/>
    <b v="1"/>
    <s v="del202004"/>
    <n v="3.6595999999999984"/>
  </r>
  <r>
    <x v="12"/>
    <x v="0"/>
    <s v="Delma"/>
    <s v="t1"/>
    <s v="del20_t1"/>
    <n v="0.64"/>
    <n v="0.65590000000000004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9"/>
    <b v="1"/>
    <s v="del202005"/>
    <n v="4.2221499999999983"/>
  </r>
  <r>
    <x v="12"/>
    <x v="0"/>
    <s v="Delma"/>
    <s v="t2"/>
    <s v="del20_t2"/>
    <n v="0.57099999999999995"/>
    <n v="0.46920000000000001"/>
    <n v="33.608032786885197"/>
    <n v="19.3532786885246"/>
    <n v="0.59300568100560203"/>
    <n v="8.5120714491501007E-2"/>
    <n v="0.58955016657372195"/>
    <n v="-7.6789315553360396E-2"/>
    <n v="7.9868852459016398E-2"/>
    <n v="4.8239843632221703E-2"/>
    <n v="5.2655737704918E-2"/>
    <n v="2.42829743139109E-2"/>
    <n v="42"/>
    <n v="326"/>
    <s v="gulf"/>
    <n v="9"/>
    <b v="1"/>
    <s v="del202005"/>
    <n v="4.2221499999999983"/>
  </r>
  <r>
    <x v="12"/>
    <x v="1"/>
    <s v="Delma"/>
    <s v="t1"/>
    <s v="del20_t1"/>
    <n v="0.70199999999999996"/>
    <n v="0.66600000000000004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9"/>
    <b v="1"/>
    <s v="del202006"/>
    <n v="4.7947999999999986"/>
  </r>
  <r>
    <x v="12"/>
    <x v="1"/>
    <s v="Delma"/>
    <s v="t2"/>
    <s v="del20_t2"/>
    <n v="0.58199999999999996"/>
    <n v="0.4793"/>
    <n v="33.903114754098397"/>
    <n v="20.521967213114799"/>
    <n v="0.56951095884138803"/>
    <n v="5.5201300572087199E-2"/>
    <n v="0.62843599775847303"/>
    <n v="-7.0381940157221101E-2"/>
    <n v="7.1999999999999995E-2"/>
    <n v="3.49747527987452E-2"/>
    <n v="6.9868852459016403E-2"/>
    <n v="2.6476703854417701E-2"/>
    <n v="23"/>
    <n v="326"/>
    <s v="gulf"/>
    <n v="9"/>
    <b v="1"/>
    <s v="del202006"/>
    <n v="4.7947999999999986"/>
  </r>
  <r>
    <x v="12"/>
    <x v="2"/>
    <s v="Delma"/>
    <s v="t1"/>
    <s v="del20_t1"/>
    <n v="1.1299999999999999"/>
    <n v="0.95860000000000001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9"/>
    <b v="1"/>
    <s v="del202007"/>
    <n v="5.4960999999999984"/>
  </r>
  <r>
    <x v="12"/>
    <x v="2"/>
    <s v="Delma"/>
    <s v="t2"/>
    <s v="del20_t2"/>
    <n v="0.61799999999999999"/>
    <n v="0.44400000000000001"/>
    <n v="34.3372131147541"/>
    <n v="18.6267213114754"/>
    <n v="0.62054739628673905"/>
    <n v="5.8505165246738301E-2"/>
    <n v="0.55271189344763505"/>
    <n v="-8.9983125488743404E-2"/>
    <n v="7.8934426229508206E-2"/>
    <n v="4.2965439154611602E-2"/>
    <n v="6.4442622950819706E-2"/>
    <n v="2.6412449457382699E-2"/>
    <n v="19"/>
    <n v="328"/>
    <s v="gulf"/>
    <n v="9"/>
    <b v="1"/>
    <s v="del202007"/>
    <n v="5.4960999999999984"/>
  </r>
  <r>
    <x v="12"/>
    <x v="3"/>
    <s v="Delma"/>
    <s v="t1"/>
    <s v="del20_t1"/>
    <n v="0.80600000000000005"/>
    <n v="0.66090000000000004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9"/>
    <b v="1"/>
    <s v="del202008"/>
    <n v="6.0081499999999988"/>
  </r>
  <r>
    <x v="12"/>
    <x v="3"/>
    <s v="Delma"/>
    <s v="t2"/>
    <s v="del20_t2"/>
    <n v="0.54300000000000004"/>
    <n v="0.36320000000000002"/>
    <n v="33.6198360655738"/>
    <n v="19.0339344262295"/>
    <n v="0.79961507132812504"/>
    <n v="0.106390665514261"/>
    <n v="0.53822390570987799"/>
    <n v="-3.48419146396673E-2"/>
    <n v="8.4606557377049196E-2"/>
    <n v="7.4136198690546301E-2"/>
    <n v="8.0557377049180298E-2"/>
    <n v="3.4423114613180102E-2"/>
    <n v="41"/>
    <n v="302"/>
    <s v="gulf"/>
    <n v="9"/>
    <b v="1"/>
    <s v="del202008"/>
    <n v="6.0081499999999988"/>
  </r>
  <r>
    <x v="12"/>
    <x v="4"/>
    <s v="Delma"/>
    <s v="t2"/>
    <s v="del20_t2"/>
    <n v="0.64"/>
    <n v="0.4541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9"/>
    <b v="1"/>
    <s v="del202009"/>
    <n v="6.5580999999999987"/>
  </r>
  <r>
    <x v="12"/>
    <x v="4"/>
    <s v="Delma"/>
    <s v="t1"/>
    <s v="del20_t1"/>
    <n v="0.77200000000000002"/>
    <n v="0.64580000000000004"/>
    <n v="33.301311475409797"/>
    <n v="19.5380327868852"/>
    <n v="0.48769122633120798"/>
    <n v="9.05585051652468E-2"/>
    <n v="0.61044649072034696"/>
    <n v="-7.8030703379018004E-2"/>
    <n v="6.50327868852459E-2"/>
    <n v="4.3558377385264899E-2"/>
    <n v="6.1229508196721301E-2"/>
    <n v="3.6259892187108997E-2"/>
    <n v="43"/>
    <n v="331"/>
    <s v="gulf"/>
    <n v="9"/>
    <b v="1"/>
    <s v="del202009"/>
    <n v="6.5580999999999987"/>
  </r>
  <r>
    <x v="12"/>
    <x v="5"/>
    <s v="Delma"/>
    <s v="t1"/>
    <s v="del20_t1"/>
    <n v="0.33800000000000002"/>
    <n v="0.25230000000000002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9"/>
    <b v="1"/>
    <s v="del202010"/>
    <n v="7.289699999999999"/>
  </r>
  <r>
    <x v="12"/>
    <x v="5"/>
    <s v="Delma"/>
    <s v="t2"/>
    <s v="del20_t2"/>
    <n v="1.4970000000000001"/>
    <n v="1.2109000000000001"/>
    <n v="34.478360655737703"/>
    <n v="21.3032786885246"/>
    <n v="0.488534274851743"/>
    <n v="7.2566325060707204E-2"/>
    <n v="0.44479650900859102"/>
    <n v="-9.5851339671564298E-2"/>
    <n v="6.6655737704918006E-2"/>
    <n v="4.8836763899717202E-2"/>
    <n v="8.7819672131147497E-2"/>
    <n v="2.6471688144582801E-2"/>
    <n v="37"/>
    <n v="334"/>
    <s v="gulf"/>
    <n v="9"/>
    <b v="1"/>
    <s v="del202010"/>
    <n v="7.289699999999999"/>
  </r>
  <r>
    <x v="12"/>
    <x v="6"/>
    <s v="Delma"/>
    <s v="t2"/>
    <s v="del20_t2"/>
    <n v="0.878"/>
    <n v="0.79210000000000003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9"/>
    <b v="1"/>
    <s v="del202011"/>
    <n v="8.0439499999999988"/>
  </r>
  <r>
    <x v="12"/>
    <x v="6"/>
    <s v="Delma"/>
    <s v="t1"/>
    <s v="del20_t1"/>
    <n v="0.86099999999999999"/>
    <n v="0.71640000000000004"/>
    <n v="34.190327868852499"/>
    <n v="20.346393442623"/>
    <n v="0.57038593012943195"/>
    <n v="7.9702432399061607E-2"/>
    <n v="0.48932254942629499"/>
    <n v="-0.10616899205663199"/>
    <n v="8.7049180327868805E-2"/>
    <n v="5.3521468038382598E-2"/>
    <n v="5.4622950819672098E-2"/>
    <n v="2.8567559652180202E-2"/>
    <n v="42"/>
    <n v="335"/>
    <s v="gulf"/>
    <n v="9"/>
    <b v="1"/>
    <s v="del202011"/>
    <n v="8.0439499999999988"/>
  </r>
  <r>
    <x v="12"/>
    <x v="7"/>
    <s v="Delma"/>
    <s v="t2"/>
    <s v="del20_t2"/>
    <n v="0.58499999999999996"/>
    <n v="0.51459999999999995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9"/>
    <b v="1"/>
    <s v="del202012"/>
    <n v="8.5206999999999997"/>
  </r>
  <r>
    <x v="12"/>
    <x v="7"/>
    <s v="Delma"/>
    <s v="t1"/>
    <s v="del20_t1"/>
    <n v="0.53400000000000003"/>
    <n v="0.43890000000000001"/>
    <n v="33.955573770491803"/>
    <n v="18.835573770491798"/>
    <n v="0.47347483069382501"/>
    <n v="0.14216158373461699"/>
    <n v="0.32937073635526998"/>
    <n v="-6.1710993126723498E-2"/>
    <n v="9.1262295081967204E-2"/>
    <n v="5.77344211712401E-2"/>
    <n v="5.1262295081967203E-2"/>
    <n v="2.7537187970297101E-2"/>
    <n v="80"/>
    <n v="324"/>
    <s v="gulf"/>
    <n v="9"/>
    <b v="1"/>
    <s v="del202012"/>
    <n v="8.5206999999999997"/>
  </r>
  <r>
    <x v="12"/>
    <x v="8"/>
    <s v="Delma"/>
    <s v="t1"/>
    <s v="del20_t1"/>
    <n v="0.60899999999999999"/>
    <n v="0.52470000000000006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9"/>
    <b v="1"/>
    <s v="del202013"/>
    <n v="9"/>
  </r>
  <r>
    <x v="12"/>
    <x v="8"/>
    <s v="Delma"/>
    <s v="t2"/>
    <s v="del20_t2"/>
    <n v="0.47499999999999998"/>
    <n v="0.43390000000000001"/>
    <n v="33.710983606557399"/>
    <n v="20.700655737704899"/>
    <n v="0.52419738283862405"/>
    <n v="6.3244927357286998E-2"/>
    <n v="0.436427561450285"/>
    <n v="-8.9031485368564006E-2"/>
    <n v="7.1821428571428605E-2"/>
    <n v="5.7359506509496602E-2"/>
    <n v="3.3440677966101701E-2"/>
    <n v="1.72689388153499E-2"/>
    <n v="29"/>
    <n v="325"/>
    <s v="gulf"/>
    <n v="9"/>
    <b v="1"/>
    <s v="del202013"/>
    <n v="9"/>
  </r>
  <r>
    <x v="13"/>
    <x v="12"/>
    <s v="Dibba"/>
    <s v="t1"/>
    <s v="dib01_t1"/>
    <n v="0.95599999999999996"/>
    <n v="0.74670000000000003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n v="15"/>
    <b v="1"/>
    <s v="dib012000"/>
    <n v="8.2998999999999992"/>
  </r>
  <r>
    <x v="13"/>
    <x v="12"/>
    <s v="Dibba"/>
    <s v="t2"/>
    <s v="dib01_t2"/>
    <n v="0.52600000000000002"/>
    <n v="0.37840000000000001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n v="15"/>
    <b v="1"/>
    <s v="dib012000"/>
    <n v="8.2998999999999992"/>
  </r>
  <r>
    <x v="13"/>
    <x v="13"/>
    <s v="Dibba"/>
    <s v="t2"/>
    <s v="dib01_t2"/>
    <n v="0.57699999999999996"/>
    <n v="0.37340000000000001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n v="15"/>
    <b v="1"/>
    <s v="dib012001"/>
    <n v="8.7489499999999989"/>
  </r>
  <r>
    <x v="13"/>
    <x v="13"/>
    <s v="Dibba"/>
    <s v="t1"/>
    <s v="dib01_t1"/>
    <n v="0.70699999999999996"/>
    <n v="0.52470000000000006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n v="15"/>
    <b v="1"/>
    <s v="dib012001"/>
    <n v="8.7489499999999989"/>
  </r>
  <r>
    <x v="13"/>
    <x v="9"/>
    <s v="Dibba"/>
    <s v="t1"/>
    <s v="dib01_t1"/>
    <n v="0.42"/>
    <n v="0.29770000000000002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n v="15"/>
    <b v="1"/>
    <s v="dib012002"/>
    <n v="9.0844499999999986"/>
  </r>
  <r>
    <x v="13"/>
    <x v="9"/>
    <s v="Dibba"/>
    <s v="t2"/>
    <s v="dib01_t2"/>
    <n v="0.55300000000000005"/>
    <n v="0.37330000000000002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n v="15"/>
    <b v="1"/>
    <s v="dib012002"/>
    <n v="9.0844499999999986"/>
  </r>
  <r>
    <x v="13"/>
    <x v="10"/>
    <s v="Dibba"/>
    <s v="t2"/>
    <s v="dib01_t2"/>
    <n v="0.753"/>
    <n v="0.51970000000000005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n v="15"/>
    <b v="1"/>
    <s v="dib012003"/>
    <n v="9.644499999999999"/>
  </r>
  <r>
    <x v="13"/>
    <x v="10"/>
    <s v="Dibba"/>
    <s v="t1"/>
    <s v="dib01_t1"/>
    <n v="0.84"/>
    <n v="0.60040000000000004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n v="15"/>
    <b v="1"/>
    <s v="dib012003"/>
    <n v="9.644499999999999"/>
  </r>
  <r>
    <x v="13"/>
    <x v="11"/>
    <s v="Dibba"/>
    <s v="t2"/>
    <s v="dib01_t2"/>
    <n v="0.60899999999999999"/>
    <n v="0.39860000000000001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15"/>
    <b v="1"/>
    <s v="dib012004"/>
    <n v="10.058199999999999"/>
  </r>
  <r>
    <x v="13"/>
    <x v="11"/>
    <s v="Dibba"/>
    <s v="t1"/>
    <s v="dib01_t1"/>
    <n v="0.63800000000000001"/>
    <n v="0.42880000000000001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15"/>
    <b v="1"/>
    <s v="dib012004"/>
    <n v="10.058199999999999"/>
  </r>
  <r>
    <x v="13"/>
    <x v="0"/>
    <s v="Dibba"/>
    <s v="t1"/>
    <s v="dib01_t1"/>
    <n v="0.67600000000000005"/>
    <n v="0.43390000000000001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15"/>
    <b v="1"/>
    <s v="dib012005"/>
    <n v="10.43155"/>
  </r>
  <r>
    <x v="13"/>
    <x v="0"/>
    <s v="Dibba"/>
    <s v="t2"/>
    <s v="dib01_t2"/>
    <n v="0.438"/>
    <n v="0.31280000000000002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15"/>
    <b v="1"/>
    <s v="dib012005"/>
    <n v="10.43155"/>
  </r>
  <r>
    <x v="13"/>
    <x v="1"/>
    <s v="Dibba"/>
    <s v="t2"/>
    <s v="dib01_t2"/>
    <n v="0.623"/>
    <n v="0.46410000000000001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15"/>
    <b v="1"/>
    <s v="dib012006"/>
    <n v="10.93605"/>
  </r>
  <r>
    <x v="13"/>
    <x v="1"/>
    <s v="Dibba"/>
    <s v="t1"/>
    <s v="dib01_t1"/>
    <n v="0.82799999999999996"/>
    <n v="0.54490000000000005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15"/>
    <b v="1"/>
    <s v="dib012006"/>
    <n v="10.93605"/>
  </r>
  <r>
    <x v="13"/>
    <x v="2"/>
    <s v="Dibba"/>
    <s v="t2"/>
    <s v="dib01_t2"/>
    <n v="0.39900000000000002"/>
    <n v="0.30270000000000002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15"/>
    <b v="1"/>
    <s v="dib012007"/>
    <n v="11.296749999999999"/>
  </r>
  <r>
    <x v="13"/>
    <x v="2"/>
    <s v="Dibba"/>
    <s v="t1"/>
    <s v="dib01_t1"/>
    <n v="0.61299999999999999"/>
    <n v="0.41870000000000002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15"/>
    <b v="1"/>
    <s v="dib012007"/>
    <n v="11.296749999999999"/>
  </r>
  <r>
    <x v="13"/>
    <x v="3"/>
    <s v="Dibba"/>
    <s v="t2"/>
    <s v="dib01_t2"/>
    <n v="0.55500000000000005"/>
    <n v="0.4945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15"/>
    <b v="1"/>
    <s v="dib012008"/>
    <n v="11.81645"/>
  </r>
  <r>
    <x v="13"/>
    <x v="3"/>
    <s v="Dibba"/>
    <s v="t1"/>
    <s v="dib01_t1"/>
    <n v="0.71499999999999997"/>
    <n v="0.54490000000000005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15"/>
    <b v="1"/>
    <s v="dib012008"/>
    <n v="11.81645"/>
  </r>
  <r>
    <x v="13"/>
    <x v="4"/>
    <s v="Dibba"/>
    <s v="t2"/>
    <s v="dib01_t2"/>
    <n v="0.54"/>
    <n v="0.53480000000000005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15"/>
    <b v="1"/>
    <s v="dib012009"/>
    <n v="12.371449999999999"/>
  </r>
  <r>
    <x v="13"/>
    <x v="4"/>
    <s v="Dibba"/>
    <s v="t1"/>
    <s v="dib01_t1"/>
    <n v="0.71299999999999997"/>
    <n v="0.5752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15"/>
    <b v="1"/>
    <s v="dib012009"/>
    <n v="12.371449999999999"/>
  </r>
  <r>
    <x v="13"/>
    <x v="5"/>
    <s v="Dibba"/>
    <s v="t1"/>
    <s v="dib01_t1"/>
    <n v="0.58199999999999996"/>
    <n v="0.51459999999999995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15"/>
    <b v="1"/>
    <s v="dib012010"/>
    <n v="12.893599999999999"/>
  </r>
  <r>
    <x v="13"/>
    <x v="5"/>
    <s v="Dibba"/>
    <s v="t2"/>
    <s v="dib01_t2"/>
    <n v="0.65900000000000003"/>
    <n v="0.52969999999999995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15"/>
    <b v="1"/>
    <s v="dib012010"/>
    <n v="12.893599999999999"/>
  </r>
  <r>
    <x v="13"/>
    <x v="6"/>
    <s v="Dibba"/>
    <s v="t1"/>
    <s v="dib01_t1"/>
    <n v="0.65500000000000003"/>
    <n v="0.54990000000000006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15"/>
    <b v="1"/>
    <s v="dib012011"/>
    <n v="13.4208"/>
  </r>
  <r>
    <x v="13"/>
    <x v="6"/>
    <s v="Dibba"/>
    <s v="t2"/>
    <s v="dib01_t2"/>
    <n v="0.68500000000000005"/>
    <n v="0.50449999999999995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15"/>
    <b v="1"/>
    <s v="dib012011"/>
    <n v="13.4208"/>
  </r>
  <r>
    <x v="13"/>
    <x v="7"/>
    <s v="Dibba"/>
    <s v="t1"/>
    <s v="dib01_t1"/>
    <n v="1.0149999999999999"/>
    <n v="0.9031000000000000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15"/>
    <b v="1"/>
    <s v="dib012012"/>
    <n v="14.445"/>
  </r>
  <r>
    <x v="13"/>
    <x v="7"/>
    <s v="Dibba"/>
    <s v="t2"/>
    <s v="dib01_t2"/>
    <n v="1.369"/>
    <n v="1.1453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15"/>
    <b v="1"/>
    <s v="dib012012"/>
    <n v="14.445"/>
  </r>
  <r>
    <x v="13"/>
    <x v="8"/>
    <s v="Dibba"/>
    <s v="t1"/>
    <s v="dib01_t1"/>
    <n v="0.997"/>
    <n v="0.7619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15"/>
    <b v="1"/>
    <s v="dib012013"/>
    <n v="15"/>
  </r>
  <r>
    <x v="13"/>
    <x v="8"/>
    <s v="Dibba"/>
    <s v="t2"/>
    <s v="dib01_t2"/>
    <n v="0.438"/>
    <n v="0.3481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15"/>
    <b v="1"/>
    <s v="dib012013"/>
    <n v="15"/>
  </r>
  <r>
    <x v="14"/>
    <x v="10"/>
    <s v="Dibba"/>
    <s v="t2"/>
    <s v="dib02_t2"/>
    <n v="0.66200000000000003"/>
    <n v="0.60040000000000004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n v="7"/>
    <b v="1"/>
    <s v="dib022003"/>
    <n v="1.4577499999999999"/>
  </r>
  <r>
    <x v="14"/>
    <x v="10"/>
    <s v="Dibba"/>
    <s v="t1"/>
    <s v="dib02_t1"/>
    <n v="0.42799999999999999"/>
    <n v="0.35310000000000002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n v="7"/>
    <b v="1"/>
    <s v="dib022003"/>
    <n v="1.4577499999999999"/>
  </r>
  <r>
    <x v="14"/>
    <x v="11"/>
    <s v="Dibba"/>
    <s v="t2"/>
    <s v="dib02_t2"/>
    <n v="0.61499999999999999"/>
    <n v="0.55500000000000005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7"/>
    <b v="1"/>
    <s v="dib022004"/>
    <n v="1.93455"/>
  </r>
  <r>
    <x v="14"/>
    <x v="11"/>
    <s v="Dibba"/>
    <s v="t1"/>
    <s v="dib02_t1"/>
    <n v="0.51700000000000002"/>
    <n v="0.39860000000000001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7"/>
    <b v="1"/>
    <s v="dib022004"/>
    <n v="1.93455"/>
  </r>
  <r>
    <x v="14"/>
    <x v="0"/>
    <s v="Dibba"/>
    <s v="t2"/>
    <s v="dib02_t2"/>
    <n v="0.873"/>
    <n v="0.70130000000000003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7"/>
    <b v="1"/>
    <s v="dib022005"/>
    <n v="2.5550999999999999"/>
  </r>
  <r>
    <x v="14"/>
    <x v="0"/>
    <s v="Dibba"/>
    <s v="t1"/>
    <s v="dib02_t1"/>
    <n v="0.65200000000000002"/>
    <n v="0.53979999999999995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7"/>
    <b v="1"/>
    <s v="dib022005"/>
    <n v="2.5550999999999999"/>
  </r>
  <r>
    <x v="14"/>
    <x v="1"/>
    <s v="Dibba"/>
    <s v="t1"/>
    <s v="dib02_t1"/>
    <n v="0.83699999999999997"/>
    <n v="0.72660000000000002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7"/>
    <b v="1"/>
    <s v="dib022006"/>
    <n v="3.3043499999999999"/>
  </r>
  <r>
    <x v="14"/>
    <x v="1"/>
    <s v="Dibba"/>
    <s v="t2"/>
    <s v="dib02_t2"/>
    <n v="1.085"/>
    <n v="0.77190000000000003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7"/>
    <b v="1"/>
    <s v="dib022006"/>
    <n v="3.3043499999999999"/>
  </r>
  <r>
    <x v="14"/>
    <x v="2"/>
    <s v="Dibba"/>
    <s v="t1"/>
    <s v="dib02_t1"/>
    <n v="0.57899999999999996"/>
    <n v="0.44900000000000001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7"/>
    <b v="1"/>
    <s v="dib022007"/>
    <n v="3.9274"/>
  </r>
  <r>
    <x v="14"/>
    <x v="2"/>
    <s v="Dibba"/>
    <s v="t2"/>
    <s v="dib02_t2"/>
    <n v="1.069"/>
    <n v="0.79710000000000003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7"/>
    <b v="1"/>
    <s v="dib022007"/>
    <n v="3.9274"/>
  </r>
  <r>
    <x v="14"/>
    <x v="3"/>
    <s v="Dibba"/>
    <s v="t2"/>
    <s v="dib02_t2"/>
    <n v="0.56399999999999995"/>
    <n v="0.39360000000000001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7"/>
    <b v="1"/>
    <s v="dib022008"/>
    <n v="4.47485"/>
  </r>
  <r>
    <x v="14"/>
    <x v="3"/>
    <s v="Dibba"/>
    <s v="t1"/>
    <s v="dib02_t1"/>
    <n v="0.80500000000000005"/>
    <n v="0.70130000000000003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7"/>
    <b v="1"/>
    <s v="dib022008"/>
    <n v="4.47485"/>
  </r>
  <r>
    <x v="14"/>
    <x v="4"/>
    <s v="Dibba"/>
    <s v="t1"/>
    <s v="dib02_t1"/>
    <n v="0.70799999999999996"/>
    <n v="0.70130000000000003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7"/>
    <b v="1"/>
    <s v="dib022009"/>
    <n v="5.1786500000000002"/>
  </r>
  <r>
    <x v="14"/>
    <x v="4"/>
    <s v="Dibba"/>
    <s v="t2"/>
    <s v="dib02_t2"/>
    <n v="1.014"/>
    <n v="0.7063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7"/>
    <b v="1"/>
    <s v="dib022009"/>
    <n v="5.1786500000000002"/>
  </r>
  <r>
    <x v="14"/>
    <x v="5"/>
    <s v="Dibba"/>
    <s v="t2"/>
    <s v="dib02_t2"/>
    <n v="0.70099999999999996"/>
    <n v="0.41370000000000001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7"/>
    <b v="1"/>
    <s v="dib022010"/>
    <n v="5.8319999999999999"/>
  </r>
  <r>
    <x v="14"/>
    <x v="5"/>
    <s v="Dibba"/>
    <s v="t1"/>
    <s v="dib02_t1"/>
    <n v="1.135"/>
    <n v="0.89300000000000002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7"/>
    <b v="1"/>
    <s v="dib022010"/>
    <n v="5.8319999999999999"/>
  </r>
  <r>
    <x v="14"/>
    <x v="6"/>
    <s v="Dibba"/>
    <s v="t1"/>
    <s v="dib02_t1"/>
    <n v="0.81599999999999995"/>
    <n v="0.52470000000000006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7"/>
    <b v="1"/>
    <s v="dib022011"/>
    <n v="6.3567"/>
  </r>
  <r>
    <x v="14"/>
    <x v="6"/>
    <s v="Dibba"/>
    <s v="t2"/>
    <s v="dib02_t2"/>
    <n v="1.097"/>
    <n v="0.52470000000000006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7"/>
    <b v="1"/>
    <s v="dib022011"/>
    <n v="6.3567"/>
  </r>
  <r>
    <x v="14"/>
    <x v="7"/>
    <s v="Dibba"/>
    <s v="t1"/>
    <s v="dib02_t1"/>
    <n v="0.69699999999999995"/>
    <n v="0.36830000000000002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7"/>
    <b v="1"/>
    <s v="dib022012"/>
    <n v="6.7225000000000001"/>
  </r>
  <r>
    <x v="14"/>
    <x v="7"/>
    <s v="Dibba"/>
    <s v="t2"/>
    <s v="dib02_t2"/>
    <n v="0.84799999999999998"/>
    <n v="0.3633000000000000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7"/>
    <b v="1"/>
    <s v="dib022012"/>
    <n v="6.7225000000000001"/>
  </r>
  <r>
    <x v="14"/>
    <x v="8"/>
    <s v="Dibba"/>
    <s v="t1"/>
    <s v="dib02_t1"/>
    <n v="0.46500000000000002"/>
    <n v="0.232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7"/>
    <b v="1"/>
    <s v="dib022013"/>
    <n v="7"/>
  </r>
  <r>
    <x v="14"/>
    <x v="8"/>
    <s v="Dibba"/>
    <s v="t2"/>
    <s v="dib02_t2"/>
    <n v="0.70099999999999996"/>
    <n v="0.3229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7"/>
    <b v="1"/>
    <s v="dib022013"/>
    <n v="7"/>
  </r>
  <r>
    <x v="15"/>
    <x v="0"/>
    <s v="Dibba"/>
    <s v="t2"/>
    <s v="dib03_t2"/>
    <n v="0.82199999999999995"/>
    <n v="0.77190000000000003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8"/>
    <b v="1"/>
    <s v="dib032005"/>
    <n v="2.8638999999999992"/>
  </r>
  <r>
    <x v="15"/>
    <x v="0"/>
    <s v="Dibba"/>
    <s v="t1"/>
    <s v="dib03_t1"/>
    <n v="1.0549999999999999"/>
    <n v="0.61550000000000005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8"/>
    <b v="1"/>
    <s v="dib032005"/>
    <n v="2.8638999999999992"/>
  </r>
  <r>
    <x v="15"/>
    <x v="1"/>
    <s v="Dibba"/>
    <s v="t2"/>
    <s v="dib03_t2"/>
    <n v="0.73299999999999998"/>
    <n v="0.38850000000000001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8"/>
    <b v="1"/>
    <s v="dib032006"/>
    <n v="3.310449999999999"/>
  </r>
  <r>
    <x v="15"/>
    <x v="1"/>
    <s v="Dibba"/>
    <s v="t1"/>
    <s v="dib03_t1"/>
    <n v="0.60499999999999998"/>
    <n v="0.50460000000000005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8"/>
    <b v="1"/>
    <s v="dib032006"/>
    <n v="3.310449999999999"/>
  </r>
  <r>
    <x v="15"/>
    <x v="2"/>
    <s v="Dibba"/>
    <s v="t1"/>
    <s v="dib03_t1"/>
    <n v="0.82199999999999995"/>
    <n v="0.86770000000000003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8"/>
    <b v="1"/>
    <s v="dib032007"/>
    <n v="4.0293499999999991"/>
  </r>
  <r>
    <x v="15"/>
    <x v="2"/>
    <s v="Dibba"/>
    <s v="t2"/>
    <s v="dib03_t2"/>
    <n v="1.3340000000000001"/>
    <n v="0.57010000000000005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8"/>
    <b v="1"/>
    <s v="dib032007"/>
    <n v="4.0293499999999991"/>
  </r>
  <r>
    <x v="15"/>
    <x v="3"/>
    <s v="Dibba"/>
    <s v="t2"/>
    <s v="dib03_t2"/>
    <n v="0.77800000000000002"/>
    <n v="0.69620000000000004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8"/>
    <b v="1"/>
    <s v="dib032008"/>
    <n v="4.677649999999999"/>
  </r>
  <r>
    <x v="15"/>
    <x v="3"/>
    <s v="Dibba"/>
    <s v="t1"/>
    <s v="dib03_t1"/>
    <n v="0.91600000000000004"/>
    <n v="0.60040000000000004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8"/>
    <b v="1"/>
    <s v="dib032008"/>
    <n v="4.677649999999999"/>
  </r>
  <r>
    <x v="15"/>
    <x v="4"/>
    <s v="Dibba"/>
    <s v="t1"/>
    <s v="dib03_t1"/>
    <n v="0.67100000000000004"/>
    <n v="0.35820000000000002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8"/>
    <b v="1"/>
    <s v="dib032009"/>
    <n v="5.1443499999999993"/>
  </r>
  <r>
    <x v="15"/>
    <x v="4"/>
    <s v="Dibba"/>
    <s v="t2"/>
    <s v="dib03_t2"/>
    <n v="0.46400000000000002"/>
    <n v="0.5752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8"/>
    <b v="1"/>
    <s v="dib032009"/>
    <n v="5.1443499999999993"/>
  </r>
  <r>
    <x v="15"/>
    <x v="5"/>
    <s v="Dibba"/>
    <s v="t2"/>
    <s v="dib03_t2"/>
    <n v="0.91400000000000003"/>
    <n v="0.80720000000000003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8"/>
    <b v="1"/>
    <s v="dib032010"/>
    <n v="5.9666999999999994"/>
  </r>
  <r>
    <x v="15"/>
    <x v="5"/>
    <s v="Dibba"/>
    <s v="t1"/>
    <s v="dib03_t1"/>
    <n v="0.91800000000000004"/>
    <n v="0.83750000000000002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8"/>
    <b v="1"/>
    <s v="dib032010"/>
    <n v="5.9666999999999994"/>
  </r>
  <r>
    <x v="15"/>
    <x v="6"/>
    <s v="Dibba"/>
    <s v="t1"/>
    <s v="dib03_t1"/>
    <n v="1.08"/>
    <n v="0.74170000000000003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8"/>
    <b v="1"/>
    <s v="dib032011"/>
    <n v="6.7512999999999996"/>
  </r>
  <r>
    <x v="15"/>
    <x v="6"/>
    <s v="Dibba"/>
    <s v="t2"/>
    <s v="dib03_t2"/>
    <n v="0.81899999999999995"/>
    <n v="0.82750000000000001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8"/>
    <b v="1"/>
    <s v="dib032011"/>
    <n v="6.7512999999999996"/>
  </r>
  <r>
    <x v="15"/>
    <x v="7"/>
    <s v="Dibba"/>
    <s v="t2"/>
    <s v="dib03_t2"/>
    <n v="1.101"/>
    <n v="0.80220000000000002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8"/>
    <b v="1"/>
    <s v="dib032012"/>
    <n v="7.5736999999999997"/>
  </r>
  <r>
    <x v="15"/>
    <x v="7"/>
    <s v="Dibba"/>
    <s v="t1"/>
    <s v="dib03_t1"/>
    <n v="0.97599999999999998"/>
    <n v="0.84260000000000002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8"/>
    <b v="1"/>
    <s v="dib032012"/>
    <n v="7.5736999999999997"/>
  </r>
  <r>
    <x v="15"/>
    <x v="8"/>
    <s v="Dibba"/>
    <s v="t2"/>
    <s v="dib03_t2"/>
    <n v="1.012"/>
    <n v="0.3935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8"/>
    <b v="1"/>
    <s v="dib032013"/>
    <n v="8"/>
  </r>
  <r>
    <x v="15"/>
    <x v="8"/>
    <s v="Dibba"/>
    <s v="t1"/>
    <s v="dib03_t1"/>
    <n v="0.77900000000000003"/>
    <n v="0.4591000000000000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8"/>
    <b v="1"/>
    <s v="dib032013"/>
    <n v="8"/>
  </r>
  <r>
    <x v="16"/>
    <x v="12"/>
    <s v="Dibba"/>
    <s v="t2"/>
    <s v="dib04_t2"/>
    <n v="1.335"/>
    <n v="1.0998000000000001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n v="14"/>
    <b v="1"/>
    <s v="dib042000"/>
    <n v="5.3069999999999986"/>
  </r>
  <r>
    <x v="16"/>
    <x v="12"/>
    <s v="Dibba"/>
    <s v="t1"/>
    <s v="dib04_t1"/>
    <n v="0.94"/>
    <n v="0.81730000000000003"/>
    <n v="32.309672131147501"/>
    <n v="23.0463934426229"/>
    <n v="0.41738085240734801"/>
    <n v="9.3784170885294504E-2"/>
    <n v="0.43156678592123199"/>
    <n v="-3.7138659093715401E-2"/>
    <n v="0.14768852459016399"/>
    <n v="7.3985480779138094E-2"/>
    <n v="0.160049180327869"/>
    <n v="6.1998770479611998E-2"/>
    <n v="42"/>
    <n v="301"/>
    <s v="oman"/>
    <n v="14"/>
    <b v="1"/>
    <s v="dib042000"/>
    <n v="5.3069999999999986"/>
  </r>
  <r>
    <x v="16"/>
    <x v="13"/>
    <s v="Dibba"/>
    <s v="t2"/>
    <s v="dib04_t2"/>
    <n v="0.82799999999999996"/>
    <n v="0.67110000000000003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n v="14"/>
    <b v="1"/>
    <s v="dib042001"/>
    <n v="6.139549999999999"/>
  </r>
  <r>
    <x v="16"/>
    <x v="13"/>
    <s v="Dibba"/>
    <s v="t1"/>
    <s v="dib04_t1"/>
    <n v="0.90500000000000003"/>
    <n v="0.99399999999999999"/>
    <n v="32.451311475409803"/>
    <n v="22.744754098360701"/>
    <n v="0.35324498843992602"/>
    <n v="7.0253940815738602E-2"/>
    <n v="0.54674941063780502"/>
    <n v="-2.3100300448615E-2"/>
    <n v="0.103213114754098"/>
    <n v="5.6441448940206598E-2"/>
    <n v="0.148786885245902"/>
    <n v="5.5687555388404399E-2"/>
    <n v="35"/>
    <n v="263"/>
    <s v="oman"/>
    <n v="14"/>
    <b v="1"/>
    <s v="dib042001"/>
    <n v="6.139549999999999"/>
  </r>
  <r>
    <x v="16"/>
    <x v="9"/>
    <s v="Dibba"/>
    <s v="t1"/>
    <s v="dib04_t1"/>
    <n v="0.60899999999999999"/>
    <n v="0.65580000000000005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n v="14"/>
    <b v="1"/>
    <s v="dib042002"/>
    <n v="6.9366499999999993"/>
  </r>
  <r>
    <x v="16"/>
    <x v="9"/>
    <s v="Dibba"/>
    <s v="t2"/>
    <s v="dib04_t2"/>
    <n v="1.0269999999999999"/>
    <n v="0.93840000000000001"/>
    <n v="32.804754098360704"/>
    <n v="23.382622950819702"/>
    <n v="0.43491340762403202"/>
    <n v="5.2813680701321197E-2"/>
    <n v="0.53228315321007202"/>
    <n v="-2.92845207227229E-2"/>
    <n v="0.11977049180327901"/>
    <n v="7.0480350321353899E-2"/>
    <n v="0.15206557377049201"/>
    <n v="4.6390684715956698E-2"/>
    <n v="33"/>
    <n v="292"/>
    <s v="oman"/>
    <n v="14"/>
    <b v="1"/>
    <s v="dib042002"/>
    <n v="6.9366499999999993"/>
  </r>
  <r>
    <x v="16"/>
    <x v="10"/>
    <s v="Dibba"/>
    <s v="t2"/>
    <s v="dib04_t2"/>
    <n v="0.65200000000000002"/>
    <n v="0.56499999999999995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n v="14"/>
    <b v="1"/>
    <s v="dib042003"/>
    <n v="7.569799999999999"/>
  </r>
  <r>
    <x v="16"/>
    <x v="10"/>
    <s v="Dibba"/>
    <s v="t1"/>
    <s v="dib04_t1"/>
    <n v="0.82799999999999996"/>
    <n v="0.70130000000000003"/>
    <n v="31.850819672131099"/>
    <n v="23.057213114754099"/>
    <n v="0.28459404507438901"/>
    <n v="5.1121537638391598E-2"/>
    <n v="0.78620670539404403"/>
    <n v="-2.66920195908961E-2"/>
    <n v="0.137245901639344"/>
    <n v="7.0147619521906499E-2"/>
    <n v="0.129049180327869"/>
    <n v="6.6603910353048607E-2"/>
    <n v="29"/>
    <n v="254"/>
    <s v="oman"/>
    <n v="14"/>
    <b v="1"/>
    <s v="dib042003"/>
    <n v="7.569799999999999"/>
  </r>
  <r>
    <x v="16"/>
    <x v="11"/>
    <s v="Dibba"/>
    <s v="t1"/>
    <s v="dib04_t1"/>
    <n v="0.76200000000000001"/>
    <n v="0.64580000000000004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14"/>
    <b v="1"/>
    <s v="dib042004"/>
    <n v="8.2307499999999987"/>
  </r>
  <r>
    <x v="16"/>
    <x v="11"/>
    <s v="Dibba"/>
    <s v="t2"/>
    <s v="dib04_t2"/>
    <n v="0.82499999999999996"/>
    <n v="0.67610000000000003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14"/>
    <b v="1"/>
    <s v="dib042004"/>
    <n v="8.2307499999999987"/>
  </r>
  <r>
    <x v="16"/>
    <x v="0"/>
    <s v="Dibba"/>
    <s v="t2"/>
    <s v="dib04_t2"/>
    <n v="0.60199999999999998"/>
    <n v="0.51970000000000005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14"/>
    <b v="1"/>
    <s v="dib042005"/>
    <n v="8.8185499999999983"/>
  </r>
  <r>
    <x v="16"/>
    <x v="0"/>
    <s v="Dibba"/>
    <s v="t1"/>
    <s v="dib04_t1"/>
    <n v="0.61399999999999999"/>
    <n v="0.65590000000000004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14"/>
    <b v="1"/>
    <s v="dib042005"/>
    <n v="8.8185499999999983"/>
  </r>
  <r>
    <x v="16"/>
    <x v="1"/>
    <s v="Dibba"/>
    <s v="t2"/>
    <s v="dib04_t2"/>
    <n v="0.68899999999999995"/>
    <n v="0.56000000000000005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14"/>
    <b v="1"/>
    <s v="dib042006"/>
    <n v="9.3280999999999992"/>
  </r>
  <r>
    <x v="16"/>
    <x v="1"/>
    <s v="Dibba"/>
    <s v="t1"/>
    <s v="dib04_t1"/>
    <n v="0.40500000000000003"/>
    <n v="0.45910000000000001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14"/>
    <b v="1"/>
    <s v="dib042006"/>
    <n v="9.3280999999999992"/>
  </r>
  <r>
    <x v="16"/>
    <x v="2"/>
    <s v="Dibba"/>
    <s v="t2"/>
    <s v="dib04_t2"/>
    <n v="0.76300000000000001"/>
    <n v="0.53979999999999995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14"/>
    <b v="1"/>
    <s v="dib042007"/>
    <n v="9.8956999999999997"/>
  </r>
  <r>
    <x v="16"/>
    <x v="2"/>
    <s v="Dibba"/>
    <s v="t1"/>
    <s v="dib04_t1"/>
    <n v="0.626"/>
    <n v="0.59540000000000004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14"/>
    <b v="1"/>
    <s v="dib042007"/>
    <n v="9.8956999999999997"/>
  </r>
  <r>
    <x v="16"/>
    <x v="3"/>
    <s v="Dibba"/>
    <s v="t2"/>
    <s v="dib04_t2"/>
    <n v="0.73799999999999999"/>
    <n v="0.62560000000000004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14"/>
    <b v="1"/>
    <s v="dib042008"/>
    <n v="10.511200000000001"/>
  </r>
  <r>
    <x v="16"/>
    <x v="3"/>
    <s v="Dibba"/>
    <s v="t1"/>
    <s v="dib04_t1"/>
    <n v="0.77"/>
    <n v="0.60540000000000005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14"/>
    <b v="1"/>
    <s v="dib042008"/>
    <n v="10.511200000000001"/>
  </r>
  <r>
    <x v="16"/>
    <x v="4"/>
    <s v="Dibba"/>
    <s v="t1"/>
    <s v="dib04_t1"/>
    <n v="0.92100000000000004"/>
    <n v="0.64070000000000005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14"/>
    <b v="1"/>
    <s v="dib042009"/>
    <n v="11.177150000000001"/>
  </r>
  <r>
    <x v="16"/>
    <x v="4"/>
    <s v="Dibba"/>
    <s v="t2"/>
    <s v="dib04_t2"/>
    <n v="0.91300000000000003"/>
    <n v="0.6912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14"/>
    <b v="1"/>
    <s v="dib042009"/>
    <n v="11.177150000000001"/>
  </r>
  <r>
    <x v="16"/>
    <x v="5"/>
    <s v="Dibba"/>
    <s v="t1"/>
    <s v="dib04_t1"/>
    <n v="1.3540000000000001"/>
    <n v="0.9637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14"/>
    <b v="1"/>
    <s v="dib042010"/>
    <n v="12.161000000000001"/>
  </r>
  <r>
    <x v="16"/>
    <x v="5"/>
    <s v="Dibba"/>
    <s v="t2"/>
    <s v="dib04_t2"/>
    <n v="1.353"/>
    <n v="1.004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14"/>
    <b v="1"/>
    <s v="dib042010"/>
    <n v="12.161000000000001"/>
  </r>
  <r>
    <x v="16"/>
    <x v="6"/>
    <s v="Dibba"/>
    <s v="t2"/>
    <s v="dib04_t2"/>
    <n v="0.76500000000000001"/>
    <n v="0.57020000000000004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14"/>
    <b v="1"/>
    <s v="dib042011"/>
    <n v="12.71095"/>
  </r>
  <r>
    <x v="16"/>
    <x v="6"/>
    <s v="Dibba"/>
    <s v="t1"/>
    <s v="dib04_t1"/>
    <n v="0.67200000000000004"/>
    <n v="0.52969999999999995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14"/>
    <b v="1"/>
    <s v="dib042011"/>
    <n v="12.71095"/>
  </r>
  <r>
    <x v="16"/>
    <x v="7"/>
    <s v="Dibba"/>
    <s v="t1"/>
    <s v="dib04_t1"/>
    <n v="0.76500000000000001"/>
    <n v="0.64080000000000004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14"/>
    <b v="1"/>
    <s v="dib042012"/>
    <n v="13.26595"/>
  </r>
  <r>
    <x v="16"/>
    <x v="7"/>
    <s v="Dibba"/>
    <s v="t2"/>
    <s v="dib04_t2"/>
    <n v="0.63500000000000001"/>
    <n v="0.4692000000000000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14"/>
    <b v="1"/>
    <s v="dib042012"/>
    <n v="13.26595"/>
  </r>
  <r>
    <x v="16"/>
    <x v="8"/>
    <s v="Dibba"/>
    <s v="t1"/>
    <s v="dib04_t1"/>
    <n v="0.91100000000000003"/>
    <n v="0.69120000000000004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14"/>
    <b v="1"/>
    <s v="dib042013"/>
    <n v="14"/>
  </r>
  <r>
    <x v="16"/>
    <x v="8"/>
    <s v="Dibba"/>
    <s v="t2"/>
    <s v="dib04_t2"/>
    <n v="1.0669999999999999"/>
    <n v="0.77690000000000003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14"/>
    <b v="1"/>
    <s v="dib042013"/>
    <n v="14"/>
  </r>
  <r>
    <x v="17"/>
    <x v="11"/>
    <s v="Dibba"/>
    <s v="t2"/>
    <s v="dib06_t2"/>
    <n v="0.437"/>
    <n v="0.34810000000000002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8.5"/>
    <b v="1"/>
    <s v="dib062004"/>
    <n v="2.2490000000000001"/>
  </r>
  <r>
    <x v="17"/>
    <x v="11"/>
    <s v="Dibba"/>
    <s v="t1"/>
    <s v="dib06_t1"/>
    <n v="0.84699999999999998"/>
    <n v="0.71650000000000003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8.5"/>
    <b v="1"/>
    <s v="dib062004"/>
    <n v="2.2490000000000001"/>
  </r>
  <r>
    <x v="17"/>
    <x v="0"/>
    <s v="Dibba"/>
    <s v="t1"/>
    <s v="dib06_t1"/>
    <n v="0.85299999999999998"/>
    <n v="0.64570000000000005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8.5"/>
    <b v="1"/>
    <s v="dib062005"/>
    <n v="2.7383500000000001"/>
  </r>
  <r>
    <x v="17"/>
    <x v="0"/>
    <s v="Dibba"/>
    <s v="t2"/>
    <s v="dib06_t2"/>
    <n v="0.42399999999999999"/>
    <n v="0.33300000000000002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8.5"/>
    <b v="1"/>
    <s v="dib062005"/>
    <n v="2.7383500000000001"/>
  </r>
  <r>
    <x v="17"/>
    <x v="1"/>
    <s v="Dibba"/>
    <s v="t2"/>
    <s v="dib06_t2"/>
    <n v="0.95099999999999996"/>
    <n v="0.74670000000000003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8.5"/>
    <b v="1"/>
    <s v="dib062006"/>
    <n v="3.4850500000000002"/>
  </r>
  <r>
    <x v="17"/>
    <x v="1"/>
    <s v="Dibba"/>
    <s v="t1"/>
    <s v="dib06_t1"/>
    <n v="0.97299999999999998"/>
    <n v="0.74670000000000003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8.5"/>
    <b v="1"/>
    <s v="dib062006"/>
    <n v="3.4850500000000002"/>
  </r>
  <r>
    <x v="17"/>
    <x v="2"/>
    <s v="Dibba"/>
    <s v="t1"/>
    <s v="dib06_t1"/>
    <n v="0.439"/>
    <n v="0.36330000000000001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8.5"/>
    <b v="1"/>
    <s v="dib062007"/>
    <n v="4.0678000000000001"/>
  </r>
  <r>
    <x v="17"/>
    <x v="2"/>
    <s v="Dibba"/>
    <s v="t2"/>
    <s v="dib06_t2"/>
    <n v="1.167"/>
    <n v="0.80220000000000002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8.5"/>
    <b v="1"/>
    <s v="dib062007"/>
    <n v="4.0678000000000001"/>
  </r>
  <r>
    <x v="17"/>
    <x v="3"/>
    <s v="Dibba"/>
    <s v="t1"/>
    <s v="dib06_t1"/>
    <n v="0.626"/>
    <n v="0.48430000000000001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8.5"/>
    <b v="1"/>
    <s v="dib062008"/>
    <n v="4.5142500000000005"/>
  </r>
  <r>
    <x v="17"/>
    <x v="3"/>
    <s v="Dibba"/>
    <s v="t2"/>
    <s v="dib06_t2"/>
    <n v="0.624"/>
    <n v="0.40860000000000002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8.5"/>
    <b v="1"/>
    <s v="dib062008"/>
    <n v="4.5142500000000005"/>
  </r>
  <r>
    <x v="17"/>
    <x v="4"/>
    <s v="Dibba"/>
    <s v="t1"/>
    <s v="dib06_t1"/>
    <n v="0.54400000000000004"/>
    <n v="0.4289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8.5"/>
    <b v="1"/>
    <s v="dib062009"/>
    <n v="5.0440500000000004"/>
  </r>
  <r>
    <x v="17"/>
    <x v="4"/>
    <s v="Dibba"/>
    <s v="t2"/>
    <s v="dib06_t2"/>
    <n v="1.0209999999999999"/>
    <n v="0.6307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8.5"/>
    <b v="1"/>
    <s v="dib062009"/>
    <n v="5.0440500000000004"/>
  </r>
  <r>
    <x v="17"/>
    <x v="5"/>
    <s v="Dibba"/>
    <s v="t1"/>
    <s v="dib06_t1"/>
    <n v="0.85199999999999998"/>
    <n v="0.78700000000000003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8.5"/>
    <b v="1"/>
    <s v="dib062010"/>
    <n v="5.7932500000000005"/>
  </r>
  <r>
    <x v="17"/>
    <x v="5"/>
    <s v="Dibba"/>
    <s v="t2"/>
    <s v="dib06_t2"/>
    <n v="0.84799999999999998"/>
    <n v="0.71140000000000003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8.5"/>
    <b v="1"/>
    <s v="dib062010"/>
    <n v="5.7932500000000005"/>
  </r>
  <r>
    <x v="17"/>
    <x v="6"/>
    <s v="Dibba"/>
    <s v="t1"/>
    <s v="dib06_t1"/>
    <n v="0.78900000000000003"/>
    <n v="0.87290000000000001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8.5"/>
    <b v="1"/>
    <s v="dib062011"/>
    <n v="6.7468000000000004"/>
  </r>
  <r>
    <x v="17"/>
    <x v="6"/>
    <s v="Dibba"/>
    <s v="t2"/>
    <s v="dib06_t2"/>
    <n v="1.3"/>
    <n v="1.0342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8.5"/>
    <b v="1"/>
    <s v="dib062011"/>
    <n v="6.7468000000000004"/>
  </r>
  <r>
    <x v="17"/>
    <x v="7"/>
    <s v="Dibba"/>
    <s v="t1"/>
    <s v="dib06_t1"/>
    <n v="0.873"/>
    <n v="0.66590000000000005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8.5"/>
    <b v="1"/>
    <s v="dib062012"/>
    <n v="7.5514999999999999"/>
  </r>
  <r>
    <x v="17"/>
    <x v="7"/>
    <s v="Dibba"/>
    <s v="t2"/>
    <s v="dib06_t2"/>
    <n v="1.198"/>
    <n v="0.9435000000000000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8.5"/>
    <b v="1"/>
    <s v="dib062012"/>
    <n v="7.5514999999999999"/>
  </r>
  <r>
    <x v="17"/>
    <x v="8"/>
    <s v="Dibba"/>
    <s v="t2"/>
    <s v="dib06_t2"/>
    <n v="1.292"/>
    <n v="0.8375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8.5"/>
    <b v="1"/>
    <s v="dib062013"/>
    <n v="8.5"/>
  </r>
  <r>
    <x v="17"/>
    <x v="8"/>
    <s v="Dibba"/>
    <s v="t1"/>
    <s v="dib06_t1"/>
    <n v="1.516"/>
    <n v="1.059500000000000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8.5"/>
    <b v="1"/>
    <s v="dib062013"/>
    <n v="8.5"/>
  </r>
  <r>
    <x v="18"/>
    <x v="11"/>
    <s v="Dibba"/>
    <s v="t1"/>
    <s v="dib08_t1"/>
    <n v="0.29899999999999999"/>
    <n v="0.26240000000000002"/>
    <n v="32.186557377049198"/>
    <n v="23.205737704918"/>
    <n v="0.327548769989007"/>
    <n v="5.5173972095320399E-2"/>
    <n v="0.58001403789305495"/>
    <n v="-2.7409721364777598E-2"/>
    <n v="0.13844262295081999"/>
    <n v="6.0138596755096703E-2"/>
    <n v="0.12034426229508199"/>
    <n v="4.7710545740573797E-2"/>
    <n v="40"/>
    <n v="278"/>
    <s v="oman"/>
    <n v="7"/>
    <b v="1"/>
    <s v="dib082004"/>
    <n v="1.2509500000000005"/>
  </r>
  <r>
    <x v="18"/>
    <x v="0"/>
    <s v="Dibba"/>
    <s v="t1"/>
    <s v="dib08_t1"/>
    <n v="0.67100000000000004"/>
    <n v="0.59530000000000005"/>
    <n v="32.376393442622899"/>
    <n v="22.926229508196698"/>
    <n v="0.44736697812283099"/>
    <n v="6.3190517347820704E-2"/>
    <n v="0.90651536627330098"/>
    <n v="-4.0437996460468403E-2"/>
    <n v="0.13750819672131101"/>
    <n v="7.6175372868755906E-2"/>
    <n v="0.15777049180327901"/>
    <n v="5.9956482396991598E-2"/>
    <n v="40"/>
    <n v="316"/>
    <s v="oman"/>
    <n v="7"/>
    <b v="1"/>
    <s v="dib082005"/>
    <n v="1.8462500000000004"/>
  </r>
  <r>
    <x v="18"/>
    <x v="1"/>
    <s v="Dibba"/>
    <s v="t2"/>
    <s v="dib08_t2"/>
    <n v="0.751"/>
    <n v="0.64080000000000004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7"/>
    <b v="1"/>
    <s v="dib082006"/>
    <n v="2.4643500000000005"/>
  </r>
  <r>
    <x v="18"/>
    <x v="1"/>
    <s v="Dibba"/>
    <s v="t1"/>
    <s v="dib08_t1"/>
    <n v="0.79"/>
    <n v="0.59540000000000004"/>
    <n v="32.261803278688497"/>
    <n v="23.1372131147541"/>
    <n v="0.49851155502335498"/>
    <n v="3.8813433757253997E-2"/>
    <n v="0.48336496975791599"/>
    <n v="-1.01396880273285E-2"/>
    <n v="0.142081967213115"/>
    <n v="7.4885088654098805E-2"/>
    <n v="0.145622950819672"/>
    <n v="4.6493068994000297E-2"/>
    <n v="25"/>
    <n v="294"/>
    <s v="oman"/>
    <n v="7"/>
    <b v="1"/>
    <s v="dib082006"/>
    <n v="2.4643500000000005"/>
  </r>
  <r>
    <x v="18"/>
    <x v="2"/>
    <s v="Dibba"/>
    <s v="t1"/>
    <s v="dib08_t1"/>
    <n v="0.94099999999999995"/>
    <n v="0.72140000000000004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7"/>
    <b v="1"/>
    <s v="dib082007"/>
    <n v="3.1277500000000007"/>
  </r>
  <r>
    <x v="18"/>
    <x v="2"/>
    <s v="Dibba"/>
    <s v="t2"/>
    <s v="dib08_t2"/>
    <n v="0.70299999999999996"/>
    <n v="0.60540000000000005"/>
    <n v="32.499016393442602"/>
    <n v="22.837704918032799"/>
    <n v="0.22679942271107401"/>
    <n v="0.115039387578714"/>
    <n v="0.64178320565445601"/>
    <n v="-3.1067292258303601E-2"/>
    <n v="0.11791803278688499"/>
    <n v="7.4893323040612705E-2"/>
    <n v="0.129885245901639"/>
    <n v="4.7115849548623502E-2"/>
    <n v="66"/>
    <n v="286"/>
    <s v="oman"/>
    <n v="7"/>
    <b v="1"/>
    <s v="dib082007"/>
    <n v="3.1277500000000007"/>
  </r>
  <r>
    <x v="18"/>
    <x v="3"/>
    <s v="Dibba"/>
    <s v="t2"/>
    <s v="dib08_t2"/>
    <n v="0.89"/>
    <n v="0.71640000000000004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7"/>
    <b v="1"/>
    <s v="dib082008"/>
    <n v="3.7306500000000007"/>
  </r>
  <r>
    <x v="18"/>
    <x v="3"/>
    <s v="Dibba"/>
    <s v="t1"/>
    <s v="dib08_t1"/>
    <n v="0.65800000000000003"/>
    <n v="0.4894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7"/>
    <b v="1"/>
    <s v="dib082008"/>
    <n v="3.7306500000000007"/>
  </r>
  <r>
    <x v="18"/>
    <x v="4"/>
    <s v="Dibba"/>
    <s v="t2"/>
    <s v="dib08_t2"/>
    <n v="0.74299999999999999"/>
    <n v="0.5853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7"/>
    <b v="1"/>
    <s v="dib082009"/>
    <n v="4.3411500000000007"/>
  </r>
  <r>
    <x v="18"/>
    <x v="4"/>
    <s v="Dibba"/>
    <s v="t1"/>
    <s v="dib08_t1"/>
    <n v="0.79900000000000004"/>
    <n v="0.6357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7"/>
    <b v="1"/>
    <s v="dib082009"/>
    <n v="4.3411500000000007"/>
  </r>
  <r>
    <x v="18"/>
    <x v="5"/>
    <s v="Dibba"/>
    <s v="t1"/>
    <s v="dib08_t1"/>
    <n v="1.056"/>
    <n v="0.85270000000000001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7"/>
    <b v="1"/>
    <s v="dib082010"/>
    <n v="5.1660500000000003"/>
  </r>
  <r>
    <x v="18"/>
    <x v="5"/>
    <s v="Dibba"/>
    <s v="t2"/>
    <s v="dib08_t2"/>
    <n v="0.89400000000000002"/>
    <n v="0.79710000000000003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7"/>
    <b v="1"/>
    <s v="dib082010"/>
    <n v="5.1660500000000003"/>
  </r>
  <r>
    <x v="18"/>
    <x v="6"/>
    <s v="Dibba"/>
    <s v="t1"/>
    <s v="dib08_t1"/>
    <n v="0.85699999999999998"/>
    <n v="0.76180000000000003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7"/>
    <b v="1"/>
    <s v="dib082011"/>
    <n v="5.8673500000000001"/>
  </r>
  <r>
    <x v="18"/>
    <x v="6"/>
    <s v="Dibba"/>
    <s v="t2"/>
    <s v="dib08_t2"/>
    <n v="0.64100000000000001"/>
    <n v="0.64080000000000004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7"/>
    <b v="1"/>
    <s v="dib082011"/>
    <n v="5.8673500000000001"/>
  </r>
  <r>
    <x v="18"/>
    <x v="7"/>
    <s v="Dibba"/>
    <s v="t2"/>
    <s v="dib08_t2"/>
    <n v="0.871"/>
    <n v="0.75680000000000003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7"/>
    <b v="1"/>
    <s v="dib082012"/>
    <n v="6.5585500000000003"/>
  </r>
  <r>
    <x v="18"/>
    <x v="7"/>
    <s v="Dibba"/>
    <s v="t1"/>
    <s v="dib08_t1"/>
    <n v="0.8"/>
    <n v="0.62560000000000004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7"/>
    <b v="1"/>
    <s v="dib082012"/>
    <n v="6.5585500000000003"/>
  </r>
  <r>
    <x v="18"/>
    <x v="8"/>
    <s v="Dibba"/>
    <s v="t2"/>
    <s v="dib08_t2"/>
    <n v="0.47899999999999998"/>
    <n v="0.4137000000000000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7"/>
    <b v="1"/>
    <s v="dib082013"/>
    <n v="7"/>
  </r>
  <r>
    <x v="18"/>
    <x v="8"/>
    <s v="Dibba"/>
    <s v="t1"/>
    <s v="dib08_t1"/>
    <n v="0.61099999999999999"/>
    <n v="0.4692000000000000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7"/>
    <b v="1"/>
    <s v="dib082013"/>
    <n v="7"/>
  </r>
  <r>
    <x v="19"/>
    <x v="3"/>
    <s v="Dibba"/>
    <s v="t2"/>
    <s v="dib15_t2"/>
    <n v="0.85499999999999998"/>
    <n v="0.70130000000000003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6"/>
    <b v="1"/>
    <s v="dib152008"/>
    <n v="3.1747000000000001"/>
  </r>
  <r>
    <x v="19"/>
    <x v="3"/>
    <s v="Dibba"/>
    <s v="t1"/>
    <s v="dib15_t1"/>
    <n v="0.92900000000000005"/>
    <n v="0.59530000000000005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6"/>
    <b v="1"/>
    <s v="dib152008"/>
    <n v="3.1747000000000001"/>
  </r>
  <r>
    <x v="19"/>
    <x v="4"/>
    <s v="Dibba"/>
    <s v="t1"/>
    <s v="dib15_t1"/>
    <n v="0.73399999999999999"/>
    <n v="0.52980000000000005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6"/>
    <b v="1"/>
    <s v="dib152009"/>
    <n v="3.7877000000000001"/>
  </r>
  <r>
    <x v="19"/>
    <x v="4"/>
    <s v="Dibba"/>
    <s v="t2"/>
    <s v="dib15_t2"/>
    <n v="0.876"/>
    <n v="0.69620000000000004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6"/>
    <b v="1"/>
    <s v="dib152009"/>
    <n v="3.7877000000000001"/>
  </r>
  <r>
    <x v="19"/>
    <x v="5"/>
    <s v="Dibba"/>
    <s v="t2"/>
    <s v="dib15_t2"/>
    <n v="0.78800000000000003"/>
    <n v="0.61550000000000005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6"/>
    <b v="1"/>
    <s v="dib152010"/>
    <n v="4.4637500000000001"/>
  </r>
  <r>
    <x v="19"/>
    <x v="5"/>
    <s v="Dibba"/>
    <s v="t1"/>
    <s v="dib15_t1"/>
    <n v="0.874"/>
    <n v="0.73660000000000003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6"/>
    <b v="1"/>
    <s v="dib152010"/>
    <n v="4.4637500000000001"/>
  </r>
  <r>
    <x v="19"/>
    <x v="6"/>
    <s v="Dibba"/>
    <s v="t2"/>
    <s v="dib15_t2"/>
    <n v="0.71199999999999997"/>
    <n v="0.51459999999999995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6"/>
    <b v="1"/>
    <s v="dib152011"/>
    <n v="4.9581499999999998"/>
  </r>
  <r>
    <x v="19"/>
    <x v="6"/>
    <s v="Dibba"/>
    <s v="t1"/>
    <s v="dib15_t1"/>
    <n v="0.59499999999999997"/>
    <n v="0.47420000000000001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6"/>
    <b v="1"/>
    <s v="dib152011"/>
    <n v="4.9581499999999998"/>
  </r>
  <r>
    <x v="19"/>
    <x v="7"/>
    <s v="Dibba"/>
    <s v="t2"/>
    <s v="dib15_t2"/>
    <n v="0.84399999999999997"/>
    <n v="0.61050000000000004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6"/>
    <b v="1"/>
    <s v="dib152012"/>
    <n v="5.609"/>
  </r>
  <r>
    <x v="19"/>
    <x v="7"/>
    <s v="Dibba"/>
    <s v="t1"/>
    <s v="dib15_t1"/>
    <n v="0.85399999999999998"/>
    <n v="0.69120000000000004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6"/>
    <b v="1"/>
    <s v="dib152012"/>
    <n v="5.609"/>
  </r>
  <r>
    <x v="19"/>
    <x v="8"/>
    <s v="Dibba"/>
    <s v="t2"/>
    <s v="dib15_t2"/>
    <n v="0.48399999999999999"/>
    <n v="0.3431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6"/>
    <b v="1"/>
    <s v="dib152013"/>
    <n v="6"/>
  </r>
  <r>
    <x v="19"/>
    <x v="8"/>
    <s v="Dibba"/>
    <s v="t1"/>
    <s v="dib15_t1"/>
    <n v="0.51200000000000001"/>
    <n v="0.4389000000000000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6"/>
    <b v="1"/>
    <s v="dib152013"/>
    <n v="6"/>
  </r>
  <r>
    <x v="20"/>
    <x v="3"/>
    <s v="Dibba"/>
    <s v="t2"/>
    <s v="dib16_t2"/>
    <n v="1.2430000000000001"/>
    <n v="0.83240000000000003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7"/>
    <b v="1"/>
    <s v="dib162008"/>
    <n v="3.3774999999999995"/>
  </r>
  <r>
    <x v="20"/>
    <x v="3"/>
    <s v="Dibba"/>
    <s v="t1"/>
    <s v="dib16_t1"/>
    <n v="1.3029999999999999"/>
    <n v="0.95860000000000001"/>
    <n v="31.7154098360656"/>
    <n v="22.766393442622999"/>
    <n v="0.67147854963725395"/>
    <n v="9.0322838210478595E-2"/>
    <n v="0.65006557046319502"/>
    <n v="-5.4092274766431199E-3"/>
    <n v="0.106426229508197"/>
    <n v="6.9211140484846195E-2"/>
    <n v="0.17472131147541001"/>
    <n v="5.2395334126726999E-2"/>
    <n v="53"/>
    <n v="301"/>
    <s v="oman"/>
    <n v="7"/>
    <b v="1"/>
    <s v="dib162008"/>
    <n v="3.3774999999999995"/>
  </r>
  <r>
    <x v="20"/>
    <x v="4"/>
    <s v="Dibba"/>
    <s v="t1"/>
    <s v="dib16_t1"/>
    <n v="0.92600000000000005"/>
    <n v="0.72150000000000003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7"/>
    <b v="1"/>
    <s v="dib162009"/>
    <n v="4.2150499999999997"/>
  </r>
  <r>
    <x v="20"/>
    <x v="4"/>
    <s v="Dibba"/>
    <s v="t2"/>
    <s v="dib16_t2"/>
    <n v="1.4730000000000001"/>
    <n v="0.9536"/>
    <n v="32.6614754098361"/>
    <n v="23.137868852459"/>
    <n v="0.39259017967892201"/>
    <n v="5.9426348931967E-2"/>
    <n v="0.55335593146296502"/>
    <n v="-1.5345598222002699E-2"/>
    <n v="0.11972131147541"/>
    <n v="6.1837187071519001E-2"/>
    <n v="0.14001639344262301"/>
    <n v="5.86601772367134E-2"/>
    <n v="43"/>
    <n v="288"/>
    <s v="oman"/>
    <n v="7"/>
    <b v="1"/>
    <s v="dib162009"/>
    <n v="4.2150499999999997"/>
  </r>
  <r>
    <x v="20"/>
    <x v="5"/>
    <s v="Dibba"/>
    <s v="t2"/>
    <s v="dib16_t2"/>
    <n v="1.0309999999999999"/>
    <n v="0.83250000000000002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7"/>
    <b v="1"/>
    <s v="dib162010"/>
    <n v="5.1131500000000001"/>
  </r>
  <r>
    <x v="20"/>
    <x v="5"/>
    <s v="Dibba"/>
    <s v="t1"/>
    <s v="dib16_t1"/>
    <n v="1.113"/>
    <n v="0.9637"/>
    <n v="32.245573770491802"/>
    <n v="23.703442622950799"/>
    <n v="0.34561966208488798"/>
    <n v="6.5089105650903395E-2"/>
    <n v="0.35836445410672801"/>
    <n v="-2.1009260402518801E-2"/>
    <n v="0.137704918032787"/>
    <n v="7.2220575152859595E-2"/>
    <n v="0.16783606557377001"/>
    <n v="5.1061786209737697E-2"/>
    <n v="40"/>
    <n v="282"/>
    <s v="oman"/>
    <n v="7"/>
    <b v="1"/>
    <s v="dib162010"/>
    <n v="5.1131500000000001"/>
  </r>
  <r>
    <x v="20"/>
    <x v="6"/>
    <s v="Dibba"/>
    <s v="t2"/>
    <s v="dib16_t2"/>
    <n v="1.147"/>
    <n v="0.97370000000000001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7"/>
    <b v="1"/>
    <s v="dib162011"/>
    <n v="5.8673500000000001"/>
  </r>
  <r>
    <x v="20"/>
    <x v="6"/>
    <s v="Dibba"/>
    <s v="t1"/>
    <s v="dib16_t1"/>
    <n v="0.61299999999999999"/>
    <n v="0.53469999999999995"/>
    <n v="32.326557377049198"/>
    <n v="23.196557377049199"/>
    <n v="0.46938926718982998"/>
    <n v="0.104802815162366"/>
    <n v="0.45522113763862698"/>
    <n v="-1.4443099971190001E-2"/>
    <n v="0.12978688524590201"/>
    <n v="6.5295511523661504E-2"/>
    <n v="0.12455737704918"/>
    <n v="4.5416048775061897E-2"/>
    <n v="66"/>
    <n v="269"/>
    <s v="oman"/>
    <n v="7"/>
    <b v="1"/>
    <s v="dib162011"/>
    <n v="5.8673500000000001"/>
  </r>
  <r>
    <x v="20"/>
    <x v="7"/>
    <s v="Dibba"/>
    <s v="t2"/>
    <s v="dib16_t2"/>
    <n v="1.048"/>
    <n v="0.87790000000000001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7"/>
    <b v="1"/>
    <s v="dib162012"/>
    <n v="6.5863500000000004"/>
  </r>
  <r>
    <x v="20"/>
    <x v="7"/>
    <s v="Dibba"/>
    <s v="t1"/>
    <s v="dib16_t1"/>
    <n v="0.66300000000000003"/>
    <n v="0.56010000000000004"/>
    <n v="32.3809836065574"/>
    <n v="22.699344262295099"/>
    <n v="0.418679944796576"/>
    <n v="0.107883277770918"/>
    <n v="0.50604909155151101"/>
    <n v="-2.0819936617689501E-2"/>
    <n v="0.159688524590164"/>
    <n v="9.5465969675692403E-2"/>
    <n v="9.7426229508196696E-2"/>
    <n v="6.3363359290259005E-2"/>
    <n v="80"/>
    <n v="305"/>
    <s v="oman"/>
    <n v="7"/>
    <b v="1"/>
    <s v="dib162012"/>
    <n v="6.5863500000000004"/>
  </r>
  <r>
    <x v="20"/>
    <x v="8"/>
    <s v="Dibba"/>
    <s v="t1"/>
    <s v="dib16_t1"/>
    <n v="0.5"/>
    <n v="0.39850000000000002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7"/>
    <b v="1"/>
    <s v="dib162013"/>
    <n v="7"/>
  </r>
  <r>
    <x v="20"/>
    <x v="8"/>
    <s v="Dibba"/>
    <s v="t2"/>
    <s v="dib16_t2"/>
    <n v="0.49"/>
    <n v="0.42880000000000001"/>
    <n v="31.180819672131101"/>
    <n v="23.1614754098361"/>
    <n v="0.39602961196344"/>
    <n v="5.5444622792937499E-2"/>
    <n v="0.60850169838702295"/>
    <n v="-2.17823599621353E-2"/>
    <n v="0.112125"/>
    <n v="6.4841923167037505E-2"/>
    <n v="7.93636363636364E-2"/>
    <n v="4.4385250985552703E-2"/>
    <n v="36"/>
    <n v="257"/>
    <s v="oman"/>
    <n v="7"/>
    <b v="1"/>
    <s v="dib162013"/>
    <n v="7"/>
  </r>
  <r>
    <x v="21"/>
    <x v="12"/>
    <s v="RasGhanada"/>
    <s v="t2"/>
    <s v="ras04_t2"/>
    <n v="0.67100000000000004"/>
    <n v="0.47420000000000001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n v="7.5"/>
    <b v="1"/>
    <s v="ras042000"/>
    <n v="2.1519999999999997"/>
  </r>
  <r>
    <x v="21"/>
    <x v="12"/>
    <s v="RasGhanada"/>
    <s v="t1"/>
    <s v="ras04_t1"/>
    <n v="0.7"/>
    <n v="0.47420000000000001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n v="7.5"/>
    <b v="1"/>
    <s v="ras042000"/>
    <n v="2.1519999999999997"/>
  </r>
  <r>
    <x v="21"/>
    <x v="13"/>
    <s v="RasGhanada"/>
    <s v="t2"/>
    <s v="ras04_t2"/>
    <n v="0.28399999999999997"/>
    <n v="0.217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n v="7.5"/>
    <b v="1"/>
    <s v="ras042001"/>
    <n v="2.3689999999999998"/>
  </r>
  <r>
    <x v="21"/>
    <x v="13"/>
    <s v="RasGhanada"/>
    <s v="t1"/>
    <s v="ras04_t1"/>
    <n v="0.307"/>
    <n v="0.217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n v="7.5"/>
    <b v="1"/>
    <s v="ras042001"/>
    <n v="2.3689999999999998"/>
  </r>
  <r>
    <x v="21"/>
    <x v="9"/>
    <s v="RasGhanada"/>
    <s v="t1"/>
    <s v="ras04_t1"/>
    <n v="0.57899999999999996"/>
    <n v="0.40360000000000001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7.5"/>
    <b v="1"/>
    <s v="ras042002"/>
    <n v="2.7725999999999997"/>
  </r>
  <r>
    <x v="21"/>
    <x v="9"/>
    <s v="RasGhanada"/>
    <s v="t2"/>
    <s v="ras04_t2"/>
    <n v="0.53700000000000003"/>
    <n v="0.40360000000000001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7.5"/>
    <b v="1"/>
    <s v="ras042002"/>
    <n v="2.7725999999999997"/>
  </r>
  <r>
    <x v="21"/>
    <x v="10"/>
    <s v="RasGhanada"/>
    <s v="t2"/>
    <s v="ras04_t2"/>
    <n v="0.45700000000000002"/>
    <n v="0.33800000000000002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7.5"/>
    <b v="1"/>
    <s v="ras042003"/>
    <n v="3.1105999999999998"/>
  </r>
  <r>
    <x v="21"/>
    <x v="10"/>
    <s v="RasGhanada"/>
    <s v="t1"/>
    <s v="ras04_t1"/>
    <n v="0.495"/>
    <n v="0.33800000000000002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7.5"/>
    <b v="1"/>
    <s v="ras042003"/>
    <n v="3.1105999999999998"/>
  </r>
  <r>
    <x v="21"/>
    <x v="11"/>
    <s v="RasGhanada"/>
    <s v="t2"/>
    <s v="ras04_t2"/>
    <n v="0.66100000000000003"/>
    <n v="0.464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7.5"/>
    <b v="1"/>
    <s v="ras042004"/>
    <n v="3.5722999999999998"/>
  </r>
  <r>
    <x v="21"/>
    <x v="11"/>
    <s v="RasGhanada"/>
    <s v="t1"/>
    <s v="ras04_t1"/>
    <n v="0.70099999999999996"/>
    <n v="0.459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7.5"/>
    <b v="1"/>
    <s v="ras042004"/>
    <n v="3.5722999999999998"/>
  </r>
  <r>
    <x v="21"/>
    <x v="0"/>
    <s v="RasGhanada"/>
    <s v="t2"/>
    <s v="ras04_t2"/>
    <n v="0.73299999999999998"/>
    <n v="0.56510000000000005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7.5"/>
    <b v="1"/>
    <s v="ras042005"/>
    <n v="4.1398999999999999"/>
  </r>
  <r>
    <x v="21"/>
    <x v="0"/>
    <s v="RasGhanada"/>
    <s v="t1"/>
    <s v="ras04_t1"/>
    <n v="0.745"/>
    <n v="0.57010000000000005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7.5"/>
    <b v="1"/>
    <s v="ras042005"/>
    <n v="4.1398999999999999"/>
  </r>
  <r>
    <x v="21"/>
    <x v="1"/>
    <s v="RasGhanada"/>
    <s v="t2"/>
    <s v="ras04_t2"/>
    <n v="0.71899999999999997"/>
    <n v="0.52969999999999995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7.5"/>
    <b v="1"/>
    <s v="ras042006"/>
    <n v="4.6620499999999998"/>
  </r>
  <r>
    <x v="21"/>
    <x v="1"/>
    <s v="RasGhanada"/>
    <s v="t1"/>
    <s v="ras04_t1"/>
    <n v="0.67100000000000004"/>
    <n v="0.51459999999999995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7.5"/>
    <b v="1"/>
    <s v="ras042006"/>
    <n v="4.6620499999999998"/>
  </r>
  <r>
    <x v="21"/>
    <x v="2"/>
    <s v="RasGhanada"/>
    <s v="t1"/>
    <s v="ras04_t1"/>
    <n v="0.621"/>
    <n v="0.48430000000000001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7.5"/>
    <b v="1"/>
    <s v="ras042007"/>
    <n v="5.1362999999999994"/>
  </r>
  <r>
    <x v="21"/>
    <x v="2"/>
    <s v="RasGhanada"/>
    <s v="t2"/>
    <s v="ras04_t2"/>
    <n v="0.63400000000000001"/>
    <n v="0.464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7.5"/>
    <b v="1"/>
    <s v="ras042007"/>
    <n v="5.1362999999999994"/>
  </r>
  <r>
    <x v="21"/>
    <x v="3"/>
    <s v="RasGhanada"/>
    <s v="t1"/>
    <s v="ras04_t1"/>
    <n v="0.60399999999999998"/>
    <n v="0.4440000000000000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7.5"/>
    <b v="1"/>
    <s v="ras042008"/>
    <n v="5.5827999999999998"/>
  </r>
  <r>
    <x v="21"/>
    <x v="3"/>
    <s v="RasGhanada"/>
    <s v="t2"/>
    <s v="ras04_t2"/>
    <n v="0.60799999999999998"/>
    <n v="0.4490000000000000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7.5"/>
    <b v="1"/>
    <s v="ras042008"/>
    <n v="5.5827999999999998"/>
  </r>
  <r>
    <x v="21"/>
    <x v="4"/>
    <s v="RasGhanada"/>
    <s v="t2"/>
    <s v="ras04_t2"/>
    <n v="0.59199999999999997"/>
    <n v="0.4440000000000000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7.5"/>
    <b v="1"/>
    <s v="ras042009"/>
    <n v="6.0267999999999997"/>
  </r>
  <r>
    <x v="21"/>
    <x v="4"/>
    <s v="RasGhanada"/>
    <s v="t1"/>
    <s v="ras04_t1"/>
    <n v="0.58499999999999996"/>
    <n v="0.4440000000000000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7.5"/>
    <b v="1"/>
    <s v="ras042009"/>
    <n v="6.0267999999999997"/>
  </r>
  <r>
    <x v="21"/>
    <x v="5"/>
    <s v="RasGhanada"/>
    <s v="t2"/>
    <s v="ras04_t2"/>
    <n v="0.627"/>
    <n v="0.4440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7.5"/>
    <b v="1"/>
    <s v="ras042010"/>
    <n v="6.4707999999999997"/>
  </r>
  <r>
    <x v="21"/>
    <x v="5"/>
    <s v="RasGhanada"/>
    <s v="t1"/>
    <s v="ras04_t1"/>
    <n v="0.59899999999999998"/>
    <n v="0.4440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7.5"/>
    <b v="1"/>
    <s v="ras042010"/>
    <n v="6.4707999999999997"/>
  </r>
  <r>
    <x v="21"/>
    <x v="6"/>
    <s v="RasGhanada"/>
    <s v="t2"/>
    <s v="ras04_t2"/>
    <n v="0.66400000000000003"/>
    <n v="0.4288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7.5"/>
    <b v="1"/>
    <s v="ras042011"/>
    <n v="6.8995999999999995"/>
  </r>
  <r>
    <x v="21"/>
    <x v="6"/>
    <s v="RasGhanada"/>
    <s v="t1"/>
    <s v="ras04_t1"/>
    <n v="0.64200000000000002"/>
    <n v="0.4288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7.5"/>
    <b v="1"/>
    <s v="ras042011"/>
    <n v="6.8995999999999995"/>
  </r>
  <r>
    <x v="21"/>
    <x v="7"/>
    <s v="RasGhanada"/>
    <s v="t2"/>
    <s v="ras04_t2"/>
    <n v="0.58599999999999997"/>
    <n v="0.35820000000000002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7.5"/>
    <b v="1"/>
    <s v="ras042012"/>
    <n v="7.2577999999999996"/>
  </r>
  <r>
    <x v="21"/>
    <x v="7"/>
    <s v="RasGhanada"/>
    <s v="t1"/>
    <s v="ras04_t1"/>
    <n v="0.57299999999999995"/>
    <n v="0.35820000000000002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7.5"/>
    <b v="1"/>
    <s v="ras042012"/>
    <n v="7.2577999999999996"/>
  </r>
  <r>
    <x v="21"/>
    <x v="8"/>
    <s v="RasGhanada"/>
    <s v="t1"/>
    <s v="ras04_t1"/>
    <n v="0.35199999999999998"/>
    <n v="0.2422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7.5"/>
    <b v="1"/>
    <s v="ras042013"/>
    <n v="7.5"/>
  </r>
  <r>
    <x v="21"/>
    <x v="8"/>
    <s v="RasGhanada"/>
    <s v="t2"/>
    <s v="ras04_t2"/>
    <n v="0.36699999999999999"/>
    <n v="0.2422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7.5"/>
    <b v="1"/>
    <s v="ras042013"/>
    <n v="7.5"/>
  </r>
  <r>
    <x v="22"/>
    <x v="1"/>
    <s v="RasGhanada"/>
    <s v="t2"/>
    <s v="ras07_t2"/>
    <n v="0.56200000000000006"/>
    <n v="0.3835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4"/>
    <b v="1"/>
    <s v="ras072006"/>
    <n v="1.4370499999999995"/>
  </r>
  <r>
    <x v="22"/>
    <x v="1"/>
    <s v="RasGhanada"/>
    <s v="t1"/>
    <s v="ras07_t1"/>
    <n v="0.56299999999999994"/>
    <n v="0.4036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4"/>
    <b v="1"/>
    <s v="ras072006"/>
    <n v="1.4370499999999995"/>
  </r>
  <r>
    <x v="22"/>
    <x v="2"/>
    <s v="RasGhanada"/>
    <s v="t2"/>
    <s v="ras07_t2"/>
    <n v="0.39800000000000002"/>
    <n v="0.25729999999999997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4"/>
    <b v="1"/>
    <s v="ras072007"/>
    <n v="1.7473499999999995"/>
  </r>
  <r>
    <x v="22"/>
    <x v="2"/>
    <s v="RasGhanada"/>
    <s v="t1"/>
    <s v="ras07_t1"/>
    <n v="0.55100000000000005"/>
    <n v="0.36330000000000001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4"/>
    <b v="1"/>
    <s v="ras072007"/>
    <n v="1.7473499999999995"/>
  </r>
  <r>
    <x v="22"/>
    <x v="3"/>
    <s v="RasGhanada"/>
    <s v="t1"/>
    <s v="ras07_t1"/>
    <n v="0.51100000000000001"/>
    <n v="0.33300000000000002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4"/>
    <b v="1"/>
    <s v="ras072008"/>
    <n v="2.1585499999999995"/>
  </r>
  <r>
    <x v="22"/>
    <x v="3"/>
    <s v="RasGhanada"/>
    <s v="t2"/>
    <s v="ras07_t2"/>
    <n v="0.75800000000000001"/>
    <n v="0.4894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4"/>
    <b v="1"/>
    <s v="ras072008"/>
    <n v="2.1585499999999995"/>
  </r>
  <r>
    <x v="22"/>
    <x v="4"/>
    <s v="RasGhanada"/>
    <s v="t1"/>
    <s v="ras07_t1"/>
    <n v="0.372"/>
    <n v="0.26229999999999998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4"/>
    <b v="1"/>
    <s v="ras072009"/>
    <n v="2.3930999999999996"/>
  </r>
  <r>
    <x v="22"/>
    <x v="4"/>
    <s v="RasGhanada"/>
    <s v="t2"/>
    <s v="ras07_t2"/>
    <n v="0.32100000000000001"/>
    <n v="0.2068000000000000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4"/>
    <b v="1"/>
    <s v="ras072009"/>
    <n v="2.3930999999999996"/>
  </r>
  <r>
    <x v="22"/>
    <x v="5"/>
    <s v="RasGhanada"/>
    <s v="t2"/>
    <s v="ras07_t2"/>
    <n v="0.61"/>
    <n v="0.3835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4"/>
    <b v="1"/>
    <s v="ras072010"/>
    <n v="2.7437999999999998"/>
  </r>
  <r>
    <x v="22"/>
    <x v="5"/>
    <s v="RasGhanada"/>
    <s v="t1"/>
    <s v="ras07_t1"/>
    <n v="0.42399999999999999"/>
    <n v="0.31790000000000002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4"/>
    <b v="1"/>
    <s v="ras072010"/>
    <n v="2.7437999999999998"/>
  </r>
  <r>
    <x v="22"/>
    <x v="6"/>
    <s v="RasGhanada"/>
    <s v="t1"/>
    <s v="ras07_t1"/>
    <n v="0.36699999999999999"/>
    <n v="0.3279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4"/>
    <b v="1"/>
    <s v="ras072011"/>
    <n v="3.0590999999999999"/>
  </r>
  <r>
    <x v="22"/>
    <x v="6"/>
    <s v="RasGhanada"/>
    <s v="t2"/>
    <s v="ras07_t2"/>
    <n v="0.42"/>
    <n v="0.3027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4"/>
    <b v="1"/>
    <s v="ras072011"/>
    <n v="3.0590999999999999"/>
  </r>
  <r>
    <x v="22"/>
    <x v="7"/>
    <s v="RasGhanada"/>
    <s v="t2"/>
    <s v="ras07_t2"/>
    <n v="0.46300000000000002"/>
    <n v="0.36830000000000002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4"/>
    <b v="1"/>
    <s v="ras072012"/>
    <n v="3.5005500000000001"/>
  </r>
  <r>
    <x v="22"/>
    <x v="7"/>
    <s v="RasGhanada"/>
    <s v="t1"/>
    <s v="ras07_t1"/>
    <n v="0.54"/>
    <n v="0.51459999999999995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4"/>
    <b v="1"/>
    <s v="ras072012"/>
    <n v="3.5005500000000001"/>
  </r>
  <r>
    <x v="22"/>
    <x v="8"/>
    <s v="RasGhanada"/>
    <s v="t2"/>
    <s v="ras07_t2"/>
    <n v="0.624"/>
    <n v="0.48430000000000001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4"/>
    <b v="1"/>
    <s v="ras072013"/>
    <n v="4"/>
  </r>
  <r>
    <x v="22"/>
    <x v="8"/>
    <s v="RasGhanada"/>
    <s v="t1"/>
    <s v="ras07_t1"/>
    <n v="0.46800000000000003"/>
    <n v="0.5145999999999999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4"/>
    <b v="1"/>
    <s v="ras072013"/>
    <n v="4"/>
  </r>
  <r>
    <x v="23"/>
    <x v="1"/>
    <s v="RasGhanada"/>
    <s v="t2"/>
    <s v="ras09_t2"/>
    <n v="0.64900000000000002"/>
    <n v="0.36830000000000002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5"/>
    <b v="1"/>
    <s v="ras092006"/>
    <n v="1.8871000000000002"/>
  </r>
  <r>
    <x v="23"/>
    <x v="1"/>
    <s v="RasGhanada"/>
    <s v="t1"/>
    <s v="ras09_t1"/>
    <n v="0.53400000000000003"/>
    <n v="0.30270000000000002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5"/>
    <b v="1"/>
    <s v="ras092006"/>
    <n v="1.8871000000000002"/>
  </r>
  <r>
    <x v="23"/>
    <x v="2"/>
    <s v="RasGhanada"/>
    <s v="t2"/>
    <s v="ras09_t2"/>
    <n v="0.505"/>
    <n v="0.3229000000000000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5"/>
    <b v="1"/>
    <s v="ras092007"/>
    <n v="2.2024500000000002"/>
  </r>
  <r>
    <x v="23"/>
    <x v="2"/>
    <s v="RasGhanada"/>
    <s v="t1"/>
    <s v="ras09_t1"/>
    <n v="0.49199999999999999"/>
    <n v="0.3078000000000000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5"/>
    <b v="1"/>
    <s v="ras092007"/>
    <n v="2.2024500000000002"/>
  </r>
  <r>
    <x v="23"/>
    <x v="3"/>
    <s v="RasGhanada"/>
    <s v="t2"/>
    <s v="ras09_t2"/>
    <n v="0.59199999999999997"/>
    <n v="0.4389000000000000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5"/>
    <b v="1"/>
    <s v="ras092008"/>
    <n v="2.6817000000000002"/>
  </r>
  <r>
    <x v="23"/>
    <x v="3"/>
    <s v="RasGhanada"/>
    <s v="t1"/>
    <s v="ras09_t1"/>
    <n v="0.72799999999999998"/>
    <n v="0.51959999999999995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5"/>
    <b v="1"/>
    <s v="ras092008"/>
    <n v="2.6817000000000002"/>
  </r>
  <r>
    <x v="23"/>
    <x v="4"/>
    <s v="RasGhanada"/>
    <s v="t1"/>
    <s v="ras09_t1"/>
    <n v="0.99299999999999999"/>
    <n v="0.67610000000000003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5"/>
    <b v="1"/>
    <s v="ras092009"/>
    <n v="3.30735"/>
  </r>
  <r>
    <x v="23"/>
    <x v="4"/>
    <s v="RasGhanada"/>
    <s v="t2"/>
    <s v="ras09_t2"/>
    <n v="0.75800000000000001"/>
    <n v="0.57520000000000004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5"/>
    <b v="1"/>
    <s v="ras092009"/>
    <n v="3.30735"/>
  </r>
  <r>
    <x v="23"/>
    <x v="5"/>
    <s v="RasGhanada"/>
    <s v="t2"/>
    <s v="ras09_t2"/>
    <n v="0.6"/>
    <n v="0.4490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5"/>
    <b v="1"/>
    <s v="ras092010"/>
    <n v="3.774"/>
  </r>
  <r>
    <x v="23"/>
    <x v="5"/>
    <s v="RasGhanada"/>
    <s v="t1"/>
    <s v="ras09_t1"/>
    <n v="0.68300000000000005"/>
    <n v="0.4843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5"/>
    <b v="1"/>
    <s v="ras092010"/>
    <n v="3.774"/>
  </r>
  <r>
    <x v="23"/>
    <x v="6"/>
    <s v="RasGhanada"/>
    <s v="t1"/>
    <s v="ras09_t1"/>
    <n v="0.46500000000000002"/>
    <n v="0.3179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5"/>
    <b v="1"/>
    <s v="ras092011"/>
    <n v="4.1448499999999999"/>
  </r>
  <r>
    <x v="23"/>
    <x v="6"/>
    <s v="RasGhanada"/>
    <s v="t2"/>
    <s v="ras09_t2"/>
    <n v="0.61599999999999999"/>
    <n v="0.4238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5"/>
    <b v="1"/>
    <s v="ras092011"/>
    <n v="4.1448499999999999"/>
  </r>
  <r>
    <x v="23"/>
    <x v="7"/>
    <s v="RasGhanada"/>
    <s v="t2"/>
    <s v="ras09_t2"/>
    <n v="0.55200000000000005"/>
    <n v="0.4137000000000000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5"/>
    <b v="1"/>
    <s v="ras092012"/>
    <n v="4.6569000000000003"/>
  </r>
  <r>
    <x v="23"/>
    <x v="7"/>
    <s v="RasGhanada"/>
    <s v="t1"/>
    <s v="ras09_t1"/>
    <n v="0.85899999999999999"/>
    <n v="0.61040000000000005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5"/>
    <b v="1"/>
    <s v="ras092012"/>
    <n v="4.6569000000000003"/>
  </r>
  <r>
    <x v="23"/>
    <x v="8"/>
    <s v="RasGhanada"/>
    <s v="t1"/>
    <s v="ras09_t1"/>
    <n v="0.3"/>
    <n v="0.21190000000000001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5"/>
    <b v="1"/>
    <s v="ras092013"/>
    <n v="5"/>
  </r>
  <r>
    <x v="23"/>
    <x v="8"/>
    <s v="RasGhanada"/>
    <s v="t2"/>
    <s v="ras09_t2"/>
    <n v="0.67100000000000004"/>
    <n v="0.4743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5"/>
    <b v="1"/>
    <s v="ras092013"/>
    <n v="5"/>
  </r>
  <r>
    <x v="24"/>
    <x v="13"/>
    <s v="RasGhanada"/>
    <s v="t1"/>
    <s v="ras11_t1"/>
    <n v="1.2989999999999999"/>
    <n v="1.3521000000000001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n v="11"/>
    <b v="1"/>
    <s v="ras112001"/>
    <n v="2.6854500000000021"/>
  </r>
  <r>
    <x v="24"/>
    <x v="13"/>
    <s v="RasGhanada"/>
    <s v="t2"/>
    <s v="ras11_t2"/>
    <n v="0.71799999999999997"/>
    <n v="0.73160000000000003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n v="11"/>
    <b v="1"/>
    <s v="ras112001"/>
    <n v="2.6854500000000021"/>
  </r>
  <r>
    <x v="24"/>
    <x v="9"/>
    <s v="RasGhanada"/>
    <s v="t2"/>
    <s v="ras11_t2"/>
    <n v="0.61399999999999999"/>
    <n v="0.53469999999999995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11"/>
    <b v="1"/>
    <s v="ras112002"/>
    <n v="3.4043500000000022"/>
  </r>
  <r>
    <x v="24"/>
    <x v="9"/>
    <s v="RasGhanada"/>
    <s v="t1"/>
    <s v="ras11_t1"/>
    <n v="0.83199999999999996"/>
    <n v="0.90310000000000001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11"/>
    <b v="1"/>
    <s v="ras112002"/>
    <n v="3.4043500000000022"/>
  </r>
  <r>
    <x v="24"/>
    <x v="10"/>
    <s v="RasGhanada"/>
    <s v="t2"/>
    <s v="ras11_t2"/>
    <n v="0.85699999999999998"/>
    <n v="0.60550000000000004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11"/>
    <b v="1"/>
    <s v="ras112003"/>
    <n v="4.1561000000000021"/>
  </r>
  <r>
    <x v="24"/>
    <x v="10"/>
    <s v="RasGhanada"/>
    <s v="t1"/>
    <s v="ras11_t1"/>
    <n v="0.99299999999999999"/>
    <n v="0.89800000000000002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11"/>
    <b v="1"/>
    <s v="ras112003"/>
    <n v="4.1561000000000021"/>
  </r>
  <r>
    <x v="24"/>
    <x v="11"/>
    <s v="RasGhanada"/>
    <s v="t2"/>
    <s v="ras11_t2"/>
    <n v="0.97"/>
    <n v="0.6508000000000000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11"/>
    <b v="1"/>
    <s v="ras112004"/>
    <n v="4.7766500000000018"/>
  </r>
  <r>
    <x v="24"/>
    <x v="11"/>
    <s v="RasGhanada"/>
    <s v="t1"/>
    <s v="ras11_t1"/>
    <n v="0.753"/>
    <n v="0.5903000000000000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11"/>
    <b v="1"/>
    <s v="ras112004"/>
    <n v="4.7766500000000018"/>
  </r>
  <r>
    <x v="24"/>
    <x v="0"/>
    <s v="RasGhanada"/>
    <s v="t1"/>
    <s v="ras11_t1"/>
    <n v="1.2010000000000001"/>
    <n v="1.0141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11"/>
    <b v="1"/>
    <s v="ras112005"/>
    <n v="5.6091500000000014"/>
  </r>
  <r>
    <x v="24"/>
    <x v="0"/>
    <s v="RasGhanada"/>
    <s v="t2"/>
    <s v="ras11_t2"/>
    <n v="0.90800000000000003"/>
    <n v="0.65090000000000003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11"/>
    <b v="1"/>
    <s v="ras112005"/>
    <n v="5.6091500000000014"/>
  </r>
  <r>
    <x v="24"/>
    <x v="1"/>
    <s v="RasGhanada"/>
    <s v="t1"/>
    <s v="ras11_t1"/>
    <n v="1.093"/>
    <n v="0.83250000000000002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11"/>
    <b v="1"/>
    <s v="ras112006"/>
    <n v="6.307900000000001"/>
  </r>
  <r>
    <x v="24"/>
    <x v="1"/>
    <s v="RasGhanada"/>
    <s v="t2"/>
    <s v="ras11_t2"/>
    <n v="0.73599999999999999"/>
    <n v="0.56499999999999995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11"/>
    <b v="1"/>
    <s v="ras112006"/>
    <n v="6.307900000000001"/>
  </r>
  <r>
    <x v="24"/>
    <x v="2"/>
    <s v="RasGhanada"/>
    <s v="t2"/>
    <s v="ras11_t2"/>
    <n v="0.88800000000000001"/>
    <n v="0.72150000000000003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11"/>
    <b v="1"/>
    <s v="ras112007"/>
    <n v="6.971350000000001"/>
  </r>
  <r>
    <x v="24"/>
    <x v="2"/>
    <s v="RasGhanada"/>
    <s v="t1"/>
    <s v="ras11_t1"/>
    <n v="0.77700000000000002"/>
    <n v="0.60540000000000005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11"/>
    <b v="1"/>
    <s v="ras112007"/>
    <n v="6.971350000000001"/>
  </r>
  <r>
    <x v="24"/>
    <x v="3"/>
    <s v="RasGhanada"/>
    <s v="t1"/>
    <s v="ras11_t1"/>
    <n v="0.84099999999999997"/>
    <n v="0.6509000000000000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11"/>
    <b v="1"/>
    <s v="ras112008"/>
    <n v="7.6903000000000006"/>
  </r>
  <r>
    <x v="24"/>
    <x v="3"/>
    <s v="RasGhanada"/>
    <s v="t2"/>
    <s v="ras11_t2"/>
    <n v="0.86"/>
    <n v="0.7870000000000000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11"/>
    <b v="1"/>
    <s v="ras112008"/>
    <n v="7.6903000000000006"/>
  </r>
  <r>
    <x v="24"/>
    <x v="4"/>
    <s v="RasGhanada"/>
    <s v="t2"/>
    <s v="ras11_t2"/>
    <n v="1.2609999999999999"/>
    <n v="0.9486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11"/>
    <b v="1"/>
    <s v="ras112009"/>
    <n v="8.6514500000000005"/>
  </r>
  <r>
    <x v="24"/>
    <x v="4"/>
    <s v="RasGhanada"/>
    <s v="t1"/>
    <s v="ras11_t1"/>
    <n v="1.3520000000000001"/>
    <n v="0.9737000000000000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11"/>
    <b v="1"/>
    <s v="ras112009"/>
    <n v="8.6514500000000005"/>
  </r>
  <r>
    <x v="24"/>
    <x v="5"/>
    <s v="RasGhanada"/>
    <s v="t1"/>
    <s v="ras11_t1"/>
    <n v="0.76100000000000001"/>
    <n v="0.4743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11"/>
    <b v="1"/>
    <s v="ras112010"/>
    <n v="9.1812000000000005"/>
  </r>
  <r>
    <x v="24"/>
    <x v="5"/>
    <s v="RasGhanada"/>
    <s v="t2"/>
    <s v="ras11_t2"/>
    <n v="0.89200000000000002"/>
    <n v="0.5852000000000000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11"/>
    <b v="1"/>
    <s v="ras112010"/>
    <n v="9.1812000000000005"/>
  </r>
  <r>
    <x v="24"/>
    <x v="6"/>
    <s v="RasGhanada"/>
    <s v="t1"/>
    <s v="ras11_t1"/>
    <n v="1.341"/>
    <n v="0.8375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11"/>
    <b v="1"/>
    <s v="ras112011"/>
    <n v="9.9253499999999999"/>
  </r>
  <r>
    <x v="24"/>
    <x v="6"/>
    <s v="RasGhanada"/>
    <s v="t2"/>
    <s v="ras11_t2"/>
    <n v="1.19"/>
    <n v="0.65080000000000005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11"/>
    <b v="1"/>
    <s v="ras112011"/>
    <n v="9.9253499999999999"/>
  </r>
  <r>
    <x v="24"/>
    <x v="7"/>
    <s v="RasGhanada"/>
    <s v="t1"/>
    <s v="ras11_t1"/>
    <n v="0.80700000000000005"/>
    <n v="0.4793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11"/>
    <b v="1"/>
    <s v="ras112012"/>
    <n v="10.38955"/>
  </r>
  <r>
    <x v="24"/>
    <x v="7"/>
    <s v="RasGhanada"/>
    <s v="t2"/>
    <s v="ras11_t2"/>
    <n v="0.84299999999999997"/>
    <n v="0.449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11"/>
    <b v="1"/>
    <s v="ras112012"/>
    <n v="10.38955"/>
  </r>
  <r>
    <x v="24"/>
    <x v="8"/>
    <s v="RasGhanada"/>
    <s v="t1"/>
    <s v="ras11_t1"/>
    <n v="0.83"/>
    <n v="0.54990000000000006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11"/>
    <b v="1"/>
    <s v="ras112013"/>
    <n v="11"/>
  </r>
  <r>
    <x v="24"/>
    <x v="8"/>
    <s v="RasGhanada"/>
    <s v="t2"/>
    <s v="ras11_t2"/>
    <n v="0.94299999999999995"/>
    <n v="0.67100000000000004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11"/>
    <b v="1"/>
    <s v="ras112013"/>
    <n v="11"/>
  </r>
  <r>
    <x v="25"/>
    <x v="12"/>
    <s v="RasGhanada"/>
    <s v="t1"/>
    <s v="ras12_t1"/>
    <n v="1.452"/>
    <n v="0.62060000000000004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n v="12"/>
    <b v="1"/>
    <s v="ras122000"/>
    <n v="4.9997500000000006"/>
  </r>
  <r>
    <x v="25"/>
    <x v="12"/>
    <s v="RasGhanada"/>
    <s v="t2"/>
    <s v="ras12_t2"/>
    <n v="0.504"/>
    <n v="0.31280000000000002"/>
    <n v="33.423442622950802"/>
    <n v="21.019016393442602"/>
    <n v="0.65686808649842998"/>
    <n v="0.11710507470058"/>
    <n v="0.450883892097517"/>
    <n v="-3.1565296127093898E-2"/>
    <n v="0.14686885245901601"/>
    <n v="9.1686326754108802E-2"/>
    <n v="0.109147540983607"/>
    <n v="3.09552559164427E-2"/>
    <n v="42"/>
    <n v="290"/>
    <s v="gulf"/>
    <n v="12"/>
    <b v="1"/>
    <s v="ras122000"/>
    <n v="4.9997500000000006"/>
  </r>
  <r>
    <x v="25"/>
    <x v="13"/>
    <s v="RasGhanada"/>
    <s v="t2"/>
    <s v="ras12_t2"/>
    <n v="0.75700000000000001"/>
    <n v="0.47420000000000001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n v="12"/>
    <b v="1"/>
    <s v="ras122001"/>
    <n v="5.5522000000000009"/>
  </r>
  <r>
    <x v="25"/>
    <x v="13"/>
    <s v="RasGhanada"/>
    <s v="t1"/>
    <s v="ras12_t1"/>
    <n v="1.0580000000000001"/>
    <n v="0.63070000000000004"/>
    <n v="33.262622950819697"/>
    <n v="20.860491803278698"/>
    <n v="0.62600432966955399"/>
    <n v="8.8630283574103699E-2"/>
    <n v="0.60190503580809795"/>
    <n v="-1.5911840968020799E-2"/>
    <n v="0.117852459016393"/>
    <n v="7.4951058712908095E-2"/>
    <n v="8.6688524590163907E-2"/>
    <n v="3.8360805076539002E-2"/>
    <n v="35"/>
    <n v="294"/>
    <s v="gulf"/>
    <n v="12"/>
    <b v="1"/>
    <s v="ras122001"/>
    <n v="5.5522000000000009"/>
  </r>
  <r>
    <x v="25"/>
    <x v="9"/>
    <s v="RasGhanada"/>
    <s v="t1"/>
    <s v="ras12_t1"/>
    <n v="0.61399999999999999"/>
    <n v="0.42380000000000001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12"/>
    <b v="1"/>
    <s v="ras122002"/>
    <n v="6.0264500000000005"/>
  </r>
  <r>
    <x v="25"/>
    <x v="9"/>
    <s v="RasGhanada"/>
    <s v="t2"/>
    <s v="ras12_t2"/>
    <n v="0.77600000000000002"/>
    <n v="0.52470000000000006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12"/>
    <b v="1"/>
    <s v="ras122002"/>
    <n v="6.0264500000000005"/>
  </r>
  <r>
    <x v="25"/>
    <x v="10"/>
    <s v="RasGhanada"/>
    <s v="t2"/>
    <s v="ras12_t2"/>
    <n v="0.315"/>
    <n v="0.2422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12"/>
    <b v="1"/>
    <s v="ras122003"/>
    <n v="6.3922000000000008"/>
  </r>
  <r>
    <x v="25"/>
    <x v="10"/>
    <s v="RasGhanada"/>
    <s v="t1"/>
    <s v="ras12_t1"/>
    <n v="0.72699999999999998"/>
    <n v="0.48930000000000001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12"/>
    <b v="1"/>
    <s v="ras122003"/>
    <n v="6.3922000000000008"/>
  </r>
  <r>
    <x v="25"/>
    <x v="11"/>
    <s v="RasGhanada"/>
    <s v="t2"/>
    <s v="ras12_t2"/>
    <n v="1.171"/>
    <n v="0.8325000000000000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12"/>
    <b v="1"/>
    <s v="ras122004"/>
    <n v="7.1086500000000008"/>
  </r>
  <r>
    <x v="25"/>
    <x v="11"/>
    <s v="RasGhanada"/>
    <s v="t1"/>
    <s v="ras12_t1"/>
    <n v="0.81899999999999995"/>
    <n v="0.60040000000000004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12"/>
    <b v="1"/>
    <s v="ras122004"/>
    <n v="7.1086500000000008"/>
  </r>
  <r>
    <x v="25"/>
    <x v="0"/>
    <s v="RasGhanada"/>
    <s v="t2"/>
    <s v="ras12_t2"/>
    <n v="0.98499999999999999"/>
    <n v="0.52969999999999995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12"/>
    <b v="1"/>
    <s v="ras122005"/>
    <n v="7.5703000000000005"/>
  </r>
  <r>
    <x v="25"/>
    <x v="0"/>
    <s v="RasGhanada"/>
    <s v="t1"/>
    <s v="ras12_t1"/>
    <n v="0.70599999999999996"/>
    <n v="0.39360000000000001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12"/>
    <b v="1"/>
    <s v="ras122005"/>
    <n v="7.5703000000000005"/>
  </r>
  <r>
    <x v="25"/>
    <x v="1"/>
    <s v="RasGhanada"/>
    <s v="t2"/>
    <s v="ras12_t2"/>
    <n v="0.73"/>
    <n v="0.4238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12"/>
    <b v="1"/>
    <s v="ras122006"/>
    <n v="8.1454500000000003"/>
  </r>
  <r>
    <x v="25"/>
    <x v="1"/>
    <s v="RasGhanada"/>
    <s v="t1"/>
    <s v="ras12_t1"/>
    <n v="1.2769999999999999"/>
    <n v="0.72650000000000003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12"/>
    <b v="1"/>
    <s v="ras122006"/>
    <n v="8.1454500000000003"/>
  </r>
  <r>
    <x v="25"/>
    <x v="2"/>
    <s v="RasGhanada"/>
    <s v="t1"/>
    <s v="ras12_t1"/>
    <n v="0.77500000000000002"/>
    <n v="0.4793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12"/>
    <b v="1"/>
    <s v="ras122007"/>
    <n v="8.8467500000000001"/>
  </r>
  <r>
    <x v="25"/>
    <x v="2"/>
    <s v="RasGhanada"/>
    <s v="t2"/>
    <s v="ras12_t2"/>
    <n v="1.554"/>
    <n v="0.92330000000000001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12"/>
    <b v="1"/>
    <s v="ras122007"/>
    <n v="8.8467500000000001"/>
  </r>
  <r>
    <x v="25"/>
    <x v="3"/>
    <s v="RasGhanada"/>
    <s v="t2"/>
    <s v="ras12_t2"/>
    <n v="0.873"/>
    <n v="0.52980000000000005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12"/>
    <b v="1"/>
    <s v="ras122008"/>
    <n v="9.5581499999999995"/>
  </r>
  <r>
    <x v="25"/>
    <x v="3"/>
    <s v="RasGhanada"/>
    <s v="t1"/>
    <s v="ras12_t1"/>
    <n v="1.5249999999999999"/>
    <n v="0.89300000000000002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12"/>
    <b v="1"/>
    <s v="ras122008"/>
    <n v="9.5581499999999995"/>
  </r>
  <r>
    <x v="25"/>
    <x v="4"/>
    <s v="RasGhanada"/>
    <s v="t1"/>
    <s v="ras12_t1"/>
    <n v="0.46899999999999997"/>
    <n v="0.26229999999999998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12"/>
    <b v="1"/>
    <s v="ras122009"/>
    <n v="9.8507499999999997"/>
  </r>
  <r>
    <x v="25"/>
    <x v="4"/>
    <s v="RasGhanada"/>
    <s v="t2"/>
    <s v="ras12_t2"/>
    <n v="0.54900000000000004"/>
    <n v="0.32290000000000002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12"/>
    <b v="1"/>
    <s v="ras122009"/>
    <n v="9.8507499999999997"/>
  </r>
  <r>
    <x v="25"/>
    <x v="5"/>
    <s v="RasGhanada"/>
    <s v="t1"/>
    <s v="ras12_t1"/>
    <n v="0.79800000000000004"/>
    <n v="0.449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12"/>
    <b v="1"/>
    <s v="ras122010"/>
    <n v="10.4032"/>
  </r>
  <r>
    <x v="25"/>
    <x v="5"/>
    <s v="RasGhanada"/>
    <s v="t2"/>
    <s v="ras12_t2"/>
    <n v="1.07"/>
    <n v="0.6558000000000000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12"/>
    <b v="1"/>
    <s v="ras122010"/>
    <n v="10.4032"/>
  </r>
  <r>
    <x v="25"/>
    <x v="6"/>
    <s v="RasGhanada"/>
    <s v="t2"/>
    <s v="ras12_t2"/>
    <n v="0.498"/>
    <n v="0.3330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12"/>
    <b v="1"/>
    <s v="ras122011"/>
    <n v="10.8825"/>
  </r>
  <r>
    <x v="25"/>
    <x v="6"/>
    <s v="RasGhanada"/>
    <s v="t1"/>
    <s v="ras12_t1"/>
    <n v="0.98599999999999999"/>
    <n v="0.62560000000000004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12"/>
    <b v="1"/>
    <s v="ras122011"/>
    <n v="10.8825"/>
  </r>
  <r>
    <x v="25"/>
    <x v="7"/>
    <s v="RasGhanada"/>
    <s v="t1"/>
    <s v="ras12_t1"/>
    <n v="0.82799999999999996"/>
    <n v="0.57509999999999994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12"/>
    <b v="1"/>
    <s v="ras122012"/>
    <n v="11.4879"/>
  </r>
  <r>
    <x v="25"/>
    <x v="7"/>
    <s v="RasGhanada"/>
    <s v="t2"/>
    <s v="ras12_t2"/>
    <n v="0.91300000000000003"/>
    <n v="0.63570000000000004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12"/>
    <b v="1"/>
    <s v="ras122012"/>
    <n v="11.4879"/>
  </r>
  <r>
    <x v="25"/>
    <x v="8"/>
    <s v="RasGhanada"/>
    <s v="t1"/>
    <s v="ras12_t1"/>
    <n v="0.70199999999999996"/>
    <n v="0.5197000000000000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12"/>
    <b v="1"/>
    <s v="ras122013"/>
    <n v="12"/>
  </r>
  <r>
    <x v="25"/>
    <x v="8"/>
    <s v="RasGhanada"/>
    <s v="t2"/>
    <s v="ras12_t2"/>
    <n v="0.63400000000000001"/>
    <n v="0.5044999999999999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12"/>
    <b v="1"/>
    <s v="ras122013"/>
    <n v="12"/>
  </r>
  <r>
    <x v="26"/>
    <x v="9"/>
    <s v="RasGhanada"/>
    <s v="t2"/>
    <s v="ras13_t2"/>
    <n v="0.38500000000000001"/>
    <n v="0.30270000000000002"/>
    <n v="34.123770491803299"/>
    <n v="21.145573770491801"/>
    <n v="0.78671156211613702"/>
    <n v="9.0298226118450897E-2"/>
    <n v="0.44775426271719698"/>
    <n v="-5.45007202535292E-2"/>
    <n v="0.12847540983606601"/>
    <n v="7.6036966132133593E-2"/>
    <n v="7.1557377049180304E-2"/>
    <n v="4.1942629304866703E-2"/>
    <n v="38"/>
    <n v="312"/>
    <s v="gulf"/>
    <n v="8.5"/>
    <b v="1"/>
    <s v="ras132002"/>
    <n v="2.6424499999999993"/>
  </r>
  <r>
    <x v="26"/>
    <x v="10"/>
    <s v="RasGhanada"/>
    <s v="t2"/>
    <s v="ras13_t2"/>
    <n v="0.58099999999999996"/>
    <n v="0.4793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8.5"/>
    <b v="1"/>
    <s v="ras132003"/>
    <n v="3.1217499999999991"/>
  </r>
  <r>
    <x v="26"/>
    <x v="11"/>
    <s v="RasGhanada"/>
    <s v="t1"/>
    <s v="ras13_t1"/>
    <n v="0.49299999999999999"/>
    <n v="0.439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8.5"/>
    <b v="1"/>
    <s v="ras132004"/>
    <n v="3.6237999999999992"/>
  </r>
  <r>
    <x v="26"/>
    <x v="11"/>
    <s v="RasGhanada"/>
    <s v="t2"/>
    <s v="ras13_t2"/>
    <n v="0.65500000000000003"/>
    <n v="0.5651000000000000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8.5"/>
    <b v="1"/>
    <s v="ras132004"/>
    <n v="3.6237999999999992"/>
  </r>
  <r>
    <x v="26"/>
    <x v="0"/>
    <s v="RasGhanada"/>
    <s v="t2"/>
    <s v="ras13_t2"/>
    <n v="0.71199999999999997"/>
    <n v="0.52470000000000006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8.5"/>
    <b v="1"/>
    <s v="ras132005"/>
    <n v="4.1484999999999994"/>
  </r>
  <r>
    <x v="26"/>
    <x v="0"/>
    <s v="RasGhanada"/>
    <s v="t1"/>
    <s v="ras13_t1"/>
    <n v="0.69399999999999995"/>
    <n v="0.52470000000000006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8.5"/>
    <b v="1"/>
    <s v="ras132005"/>
    <n v="4.1484999999999994"/>
  </r>
  <r>
    <x v="26"/>
    <x v="1"/>
    <s v="RasGhanada"/>
    <s v="t1"/>
    <s v="ras13_t1"/>
    <n v="0.51100000000000001"/>
    <n v="0.4137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8.5"/>
    <b v="1"/>
    <s v="ras132006"/>
    <n v="4.5470499999999996"/>
  </r>
  <r>
    <x v="26"/>
    <x v="1"/>
    <s v="RasGhanada"/>
    <s v="t2"/>
    <s v="ras13_t2"/>
    <n v="0.61299999999999999"/>
    <n v="0.38340000000000002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8.5"/>
    <b v="1"/>
    <s v="ras132006"/>
    <n v="4.5470499999999996"/>
  </r>
  <r>
    <x v="26"/>
    <x v="2"/>
    <s v="RasGhanada"/>
    <s v="t2"/>
    <s v="ras13_t2"/>
    <n v="0.79400000000000004"/>
    <n v="0.54490000000000005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8.5"/>
    <b v="1"/>
    <s v="ras132007"/>
    <n v="5.0515999999999996"/>
  </r>
  <r>
    <x v="26"/>
    <x v="2"/>
    <s v="RasGhanada"/>
    <s v="t1"/>
    <s v="ras13_t1"/>
    <n v="0.59699999999999998"/>
    <n v="0.464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8.5"/>
    <b v="1"/>
    <s v="ras132007"/>
    <n v="5.0515999999999996"/>
  </r>
  <r>
    <x v="26"/>
    <x v="3"/>
    <s v="RasGhanada"/>
    <s v="t2"/>
    <s v="ras13_t2"/>
    <n v="0.92200000000000004"/>
    <n v="0.62560000000000004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8.5"/>
    <b v="1"/>
    <s v="ras132008"/>
    <n v="5.5560999999999998"/>
  </r>
  <r>
    <x v="26"/>
    <x v="3"/>
    <s v="RasGhanada"/>
    <s v="t1"/>
    <s v="ras13_t1"/>
    <n v="0.57399999999999995"/>
    <n v="0.38340000000000002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8.5"/>
    <b v="1"/>
    <s v="ras132008"/>
    <n v="5.5560999999999998"/>
  </r>
  <r>
    <x v="26"/>
    <x v="4"/>
    <s v="RasGhanada"/>
    <s v="t2"/>
    <s v="ras13_t2"/>
    <n v="0.502"/>
    <n v="0.31790000000000002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8.5"/>
    <b v="1"/>
    <s v="ras132009"/>
    <n v="5.8865999999999996"/>
  </r>
  <r>
    <x v="26"/>
    <x v="4"/>
    <s v="RasGhanada"/>
    <s v="t1"/>
    <s v="ras13_t1"/>
    <n v="0.56200000000000006"/>
    <n v="0.34310000000000002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8.5"/>
    <b v="1"/>
    <s v="ras132009"/>
    <n v="5.8865999999999996"/>
  </r>
  <r>
    <x v="26"/>
    <x v="5"/>
    <s v="RasGhanada"/>
    <s v="t2"/>
    <s v="ras13_t2"/>
    <n v="0.98799999999999999"/>
    <n v="0.75170000000000003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8.5"/>
    <b v="1"/>
    <s v="ras132010"/>
    <n v="6.5953999999999997"/>
  </r>
  <r>
    <x v="26"/>
    <x v="5"/>
    <s v="RasGhanada"/>
    <s v="t1"/>
    <s v="ras13_t1"/>
    <n v="0.94299999999999995"/>
    <n v="0.66590000000000005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8.5"/>
    <b v="1"/>
    <s v="ras132010"/>
    <n v="6.5953999999999997"/>
  </r>
  <r>
    <x v="26"/>
    <x v="6"/>
    <s v="RasGhanada"/>
    <s v="t2"/>
    <s v="ras13_t2"/>
    <n v="0.53500000000000003"/>
    <n v="0.4692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8.5"/>
    <b v="1"/>
    <s v="ras132011"/>
    <n v="7.2184999999999997"/>
  </r>
  <r>
    <x v="26"/>
    <x v="6"/>
    <s v="RasGhanada"/>
    <s v="t1"/>
    <s v="ras13_t1"/>
    <n v="1.143"/>
    <n v="0.7770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8.5"/>
    <b v="1"/>
    <s v="ras132011"/>
    <n v="7.2184999999999997"/>
  </r>
  <r>
    <x v="26"/>
    <x v="7"/>
    <s v="RasGhanada"/>
    <s v="t1"/>
    <s v="ras13_t1"/>
    <n v="1.0389999999999999"/>
    <n v="0.73160000000000003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8.5"/>
    <b v="1"/>
    <s v="ras132012"/>
    <n v="7.81135"/>
  </r>
  <r>
    <x v="26"/>
    <x v="7"/>
    <s v="RasGhanada"/>
    <s v="t2"/>
    <s v="ras13_t2"/>
    <n v="0.61599999999999999"/>
    <n v="0.454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8.5"/>
    <b v="1"/>
    <s v="ras132012"/>
    <n v="7.81135"/>
  </r>
  <r>
    <x v="26"/>
    <x v="8"/>
    <s v="RasGhanada"/>
    <s v="t1"/>
    <s v="ras13_t1"/>
    <n v="0.80400000000000005"/>
    <n v="0.69120000000000004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8.5"/>
    <b v="1"/>
    <s v="ras132013"/>
    <n v="8.5"/>
  </r>
  <r>
    <x v="26"/>
    <x v="8"/>
    <s v="RasGhanada"/>
    <s v="t2"/>
    <s v="ras13_t2"/>
    <n v="0.86099999999999999"/>
    <n v="0.68610000000000004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8.5"/>
    <b v="1"/>
    <s v="ras132013"/>
    <n v="8.5"/>
  </r>
  <r>
    <x v="27"/>
    <x v="11"/>
    <s v="RasGhanada"/>
    <s v="t1"/>
    <s v="ras15_t1"/>
    <n v="0.38"/>
    <n v="0.3481000000000000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6"/>
    <b v="1"/>
    <s v="ras152004"/>
    <n v="1.4214500000000003"/>
  </r>
  <r>
    <x v="27"/>
    <x v="11"/>
    <s v="RasGhanada"/>
    <s v="t2"/>
    <s v="ras15_t2"/>
    <n v="0.49199999999999999"/>
    <n v="0.3582000000000000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6"/>
    <b v="1"/>
    <s v="ras152004"/>
    <n v="1.4214500000000003"/>
  </r>
  <r>
    <x v="27"/>
    <x v="0"/>
    <s v="RasGhanada"/>
    <s v="t1"/>
    <s v="ras15_t1"/>
    <n v="0.71599999999999997"/>
    <n v="0.67100000000000004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6"/>
    <b v="1"/>
    <s v="ras152005"/>
    <n v="2.1025500000000004"/>
  </r>
  <r>
    <x v="27"/>
    <x v="0"/>
    <s v="RasGhanada"/>
    <s v="t2"/>
    <s v="ras15_t2"/>
    <n v="0.98599999999999999"/>
    <n v="0.69120000000000004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6"/>
    <b v="1"/>
    <s v="ras152005"/>
    <n v="2.1025500000000004"/>
  </r>
  <r>
    <x v="27"/>
    <x v="1"/>
    <s v="RasGhanada"/>
    <s v="t2"/>
    <s v="ras15_t2"/>
    <n v="0.66300000000000003"/>
    <n v="0.4692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6"/>
    <b v="1"/>
    <s v="ras152006"/>
    <n v="2.5541000000000005"/>
  </r>
  <r>
    <x v="27"/>
    <x v="1"/>
    <s v="RasGhanada"/>
    <s v="t1"/>
    <s v="ras15_t1"/>
    <n v="0.52600000000000002"/>
    <n v="0.4339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6"/>
    <b v="1"/>
    <s v="ras152006"/>
    <n v="2.5541000000000005"/>
  </r>
  <r>
    <x v="27"/>
    <x v="2"/>
    <s v="RasGhanada"/>
    <s v="t1"/>
    <s v="ras15_t1"/>
    <n v="0.58499999999999996"/>
    <n v="0.39860000000000001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6"/>
    <b v="1"/>
    <s v="ras152007"/>
    <n v="2.8366500000000006"/>
  </r>
  <r>
    <x v="27"/>
    <x v="2"/>
    <s v="RasGhanada"/>
    <s v="t2"/>
    <s v="ras15_t2"/>
    <n v="0.246"/>
    <n v="0.16650000000000001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6"/>
    <b v="1"/>
    <s v="ras152007"/>
    <n v="2.8366500000000006"/>
  </r>
  <r>
    <x v="27"/>
    <x v="3"/>
    <s v="RasGhanada"/>
    <s v="t2"/>
    <s v="ras15_t2"/>
    <n v="0.98899999999999999"/>
    <n v="0.7114000000000000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6"/>
    <b v="1"/>
    <s v="ras152008"/>
    <n v="3.3840500000000007"/>
  </r>
  <r>
    <x v="27"/>
    <x v="3"/>
    <s v="RasGhanada"/>
    <s v="t1"/>
    <s v="ras15_t1"/>
    <n v="0.55500000000000005"/>
    <n v="0.38340000000000002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6"/>
    <b v="1"/>
    <s v="ras152008"/>
    <n v="3.3840500000000007"/>
  </r>
  <r>
    <x v="27"/>
    <x v="4"/>
    <s v="RasGhanada"/>
    <s v="t2"/>
    <s v="ras15_t2"/>
    <n v="0.754"/>
    <n v="0.52470000000000006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6"/>
    <b v="1"/>
    <s v="ras152009"/>
    <n v="3.9844500000000007"/>
  </r>
  <r>
    <x v="27"/>
    <x v="4"/>
    <s v="RasGhanada"/>
    <s v="t1"/>
    <s v="ras15_t1"/>
    <n v="0.88400000000000001"/>
    <n v="0.67610000000000003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6"/>
    <b v="1"/>
    <s v="ras152009"/>
    <n v="3.9844500000000007"/>
  </r>
  <r>
    <x v="27"/>
    <x v="5"/>
    <s v="RasGhanada"/>
    <s v="t1"/>
    <s v="ras15_t1"/>
    <n v="1.327"/>
    <n v="1.004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6"/>
    <b v="1"/>
    <s v="ras152010"/>
    <n v="4.7134500000000008"/>
  </r>
  <r>
    <x v="27"/>
    <x v="5"/>
    <s v="RasGhanada"/>
    <s v="t2"/>
    <s v="ras15_t2"/>
    <n v="0.69199999999999995"/>
    <n v="0.4540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6"/>
    <b v="1"/>
    <s v="ras152010"/>
    <n v="4.7134500000000008"/>
  </r>
  <r>
    <x v="27"/>
    <x v="6"/>
    <s v="RasGhanada"/>
    <s v="t1"/>
    <s v="ras15_t1"/>
    <n v="0.54800000000000004"/>
    <n v="0.4137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6"/>
    <b v="1"/>
    <s v="ras152011"/>
    <n v="5.1297000000000006"/>
  </r>
  <r>
    <x v="27"/>
    <x v="6"/>
    <s v="RasGhanada"/>
    <s v="t2"/>
    <s v="ras15_t2"/>
    <n v="0.69199999999999995"/>
    <n v="0.4188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6"/>
    <b v="1"/>
    <s v="ras152011"/>
    <n v="5.1297000000000006"/>
  </r>
  <r>
    <x v="27"/>
    <x v="7"/>
    <s v="RasGhanada"/>
    <s v="t2"/>
    <s v="ras15_t2"/>
    <n v="0.60399999999999998"/>
    <n v="0.38340000000000002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6"/>
    <b v="1"/>
    <s v="ras152012"/>
    <n v="5.5711500000000003"/>
  </r>
  <r>
    <x v="27"/>
    <x v="7"/>
    <s v="RasGhanada"/>
    <s v="t1"/>
    <s v="ras15_t1"/>
    <n v="0.57799999999999996"/>
    <n v="0.4995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6"/>
    <b v="1"/>
    <s v="ras152012"/>
    <n v="5.5711500000000003"/>
  </r>
  <r>
    <x v="27"/>
    <x v="8"/>
    <s v="RasGhanada"/>
    <s v="t1"/>
    <s v="ras15_t1"/>
    <n v="0.36499999999999999"/>
    <n v="0.31780000000000003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6"/>
    <b v="1"/>
    <s v="ras152013"/>
    <n v="6"/>
  </r>
  <r>
    <x v="27"/>
    <x v="8"/>
    <s v="RasGhanada"/>
    <s v="t2"/>
    <s v="ras15_t2"/>
    <n v="0.67900000000000005"/>
    <n v="0.5399000000000000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6"/>
    <b v="1"/>
    <s v="ras152013"/>
    <n v="6"/>
  </r>
  <r>
    <x v="28"/>
    <x v="10"/>
    <s v="RasGhanada"/>
    <s v="t2"/>
    <s v="ras16_t2"/>
    <n v="1.1020000000000001"/>
    <n v="0.96360000000000001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7"/>
    <b v="1"/>
    <s v="ras162003"/>
    <n v="1.8891499999999994"/>
  </r>
  <r>
    <x v="28"/>
    <x v="10"/>
    <s v="RasGhanada"/>
    <s v="t1"/>
    <s v="ras16_t1"/>
    <n v="0.30099999999999999"/>
    <n v="0.1918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7"/>
    <b v="1"/>
    <s v="ras162003"/>
    <n v="1.8891499999999994"/>
  </r>
  <r>
    <x v="28"/>
    <x v="11"/>
    <s v="RasGhanada"/>
    <s v="t2"/>
    <s v="ras16_t2"/>
    <n v="0.72"/>
    <n v="0.59540000000000004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7"/>
    <b v="1"/>
    <s v="ras162004"/>
    <n v="2.3709999999999996"/>
  </r>
  <r>
    <x v="28"/>
    <x v="11"/>
    <s v="RasGhanada"/>
    <s v="t1"/>
    <s v="ras16_t1"/>
    <n v="0.53300000000000003"/>
    <n v="0.36830000000000002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7"/>
    <b v="1"/>
    <s v="ras162004"/>
    <n v="2.3709999999999996"/>
  </r>
  <r>
    <x v="28"/>
    <x v="0"/>
    <s v="RasGhanada"/>
    <s v="t1"/>
    <s v="ras16_t1"/>
    <n v="0.753"/>
    <n v="0.64580000000000004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7"/>
    <b v="1"/>
    <s v="ras162005"/>
    <n v="2.9284999999999997"/>
  </r>
  <r>
    <x v="28"/>
    <x v="0"/>
    <s v="RasGhanada"/>
    <s v="t2"/>
    <s v="ras16_t2"/>
    <n v="0.60399999999999998"/>
    <n v="0.46920000000000001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7"/>
    <b v="1"/>
    <s v="ras162005"/>
    <n v="2.9284999999999997"/>
  </r>
  <r>
    <x v="28"/>
    <x v="1"/>
    <s v="RasGhanada"/>
    <s v="t2"/>
    <s v="ras16_t2"/>
    <n v="1.0309999999999999"/>
    <n v="0.74670000000000003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7"/>
    <b v="1"/>
    <s v="ras162006"/>
    <n v="3.5439999999999996"/>
  </r>
  <r>
    <x v="28"/>
    <x v="1"/>
    <s v="RasGhanada"/>
    <s v="t1"/>
    <s v="ras16_t1"/>
    <n v="0.626"/>
    <n v="0.48430000000000001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7"/>
    <b v="1"/>
    <s v="ras162006"/>
    <n v="3.5439999999999996"/>
  </r>
  <r>
    <x v="28"/>
    <x v="2"/>
    <s v="RasGhanada"/>
    <s v="t2"/>
    <s v="ras16_t2"/>
    <n v="0.92200000000000004"/>
    <n v="0.79710000000000003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7"/>
    <b v="1"/>
    <s v="ras162007"/>
    <n v="4.1090499999999999"/>
  </r>
  <r>
    <x v="28"/>
    <x v="2"/>
    <s v="RasGhanada"/>
    <s v="t1"/>
    <s v="ras16_t1"/>
    <n v="0.45400000000000001"/>
    <n v="0.3330000000000000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7"/>
    <b v="1"/>
    <s v="ras162007"/>
    <n v="4.1090499999999999"/>
  </r>
  <r>
    <x v="28"/>
    <x v="3"/>
    <s v="RasGhanada"/>
    <s v="t1"/>
    <s v="ras16_t1"/>
    <n v="0.51300000000000001"/>
    <n v="0.35820000000000002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7"/>
    <b v="1"/>
    <s v="ras162008"/>
    <n v="4.4218500000000001"/>
  </r>
  <r>
    <x v="28"/>
    <x v="3"/>
    <s v="RasGhanada"/>
    <s v="t2"/>
    <s v="ras16_t2"/>
    <n v="0.313"/>
    <n v="0.26740000000000003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7"/>
    <b v="1"/>
    <s v="ras162008"/>
    <n v="4.4218500000000001"/>
  </r>
  <r>
    <x v="28"/>
    <x v="4"/>
    <s v="RasGhanada"/>
    <s v="t1"/>
    <s v="ras16_t1"/>
    <n v="0.54"/>
    <n v="0.39350000000000002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7"/>
    <b v="1"/>
    <s v="ras162009"/>
    <n v="4.8406000000000002"/>
  </r>
  <r>
    <x v="28"/>
    <x v="4"/>
    <s v="RasGhanada"/>
    <s v="t2"/>
    <s v="ras16_t2"/>
    <n v="0.56000000000000005"/>
    <n v="0.44400000000000001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7"/>
    <b v="1"/>
    <s v="ras162009"/>
    <n v="4.8406000000000002"/>
  </r>
  <r>
    <x v="28"/>
    <x v="5"/>
    <s v="RasGhanada"/>
    <s v="t1"/>
    <s v="ras16_t1"/>
    <n v="0.875"/>
    <n v="0.72150000000000003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7"/>
    <b v="1"/>
    <s v="ras162010"/>
    <n v="5.5116500000000004"/>
  </r>
  <r>
    <x v="28"/>
    <x v="5"/>
    <s v="RasGhanada"/>
    <s v="t2"/>
    <s v="ras16_t2"/>
    <n v="0.73599999999999999"/>
    <n v="0.62060000000000004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7"/>
    <b v="1"/>
    <s v="ras162010"/>
    <n v="5.5116500000000004"/>
  </r>
  <r>
    <x v="28"/>
    <x v="6"/>
    <s v="RasGhanada"/>
    <s v="t2"/>
    <s v="ras16_t2"/>
    <n v="0.872"/>
    <n v="0.72140000000000004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7"/>
    <b v="1"/>
    <s v="ras162011"/>
    <n v="6.1523500000000002"/>
  </r>
  <r>
    <x v="28"/>
    <x v="6"/>
    <s v="RasGhanada"/>
    <s v="t1"/>
    <s v="ras16_t1"/>
    <n v="0.67600000000000005"/>
    <n v="0.56000000000000005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7"/>
    <b v="1"/>
    <s v="ras162011"/>
    <n v="6.1523500000000002"/>
  </r>
  <r>
    <x v="28"/>
    <x v="7"/>
    <s v="RasGhanada"/>
    <s v="t2"/>
    <s v="ras16_t2"/>
    <n v="0.73899999999999999"/>
    <n v="0.52980000000000005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7"/>
    <b v="1"/>
    <s v="ras162012"/>
    <n v="6.64175"/>
  </r>
  <r>
    <x v="28"/>
    <x v="7"/>
    <s v="RasGhanada"/>
    <s v="t1"/>
    <s v="ras16_t1"/>
    <n v="0.65100000000000002"/>
    <n v="0.4490000000000000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7"/>
    <b v="1"/>
    <s v="ras162012"/>
    <n v="6.64175"/>
  </r>
  <r>
    <x v="28"/>
    <x v="8"/>
    <s v="RasGhanada"/>
    <s v="t2"/>
    <s v="ras16_t2"/>
    <n v="0.318"/>
    <n v="0.2422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7"/>
    <b v="1"/>
    <s v="ras162013"/>
    <n v="7"/>
  </r>
  <r>
    <x v="28"/>
    <x v="8"/>
    <s v="RasGhanada"/>
    <s v="t1"/>
    <s v="ras16_t1"/>
    <n v="0.60399999999999998"/>
    <n v="0.4743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7"/>
    <b v="1"/>
    <s v="ras162013"/>
    <n v="7"/>
  </r>
  <r>
    <x v="29"/>
    <x v="10"/>
    <s v="RasGhanada"/>
    <s v="t1"/>
    <s v="ras21_t1"/>
    <n v="0.71799999999999997"/>
    <n v="0.51459999999999995"/>
    <n v="33.687213114754101"/>
    <n v="21.059672131147501"/>
    <n v="0.55051783868498105"/>
    <n v="7.2670206198296103E-2"/>
    <n v="0.425182827920495"/>
    <n v="-9.3748528624933103E-2"/>
    <n v="0.123311475409836"/>
    <n v="8.6160226899965595E-2"/>
    <n v="7.8049180327868894E-2"/>
    <n v="4.2066386513663602E-2"/>
    <n v="29"/>
    <n v="330"/>
    <s v="gulf"/>
    <n v="8.5"/>
    <b v="1"/>
    <s v="ras212003"/>
    <n v="3.3690000000000011"/>
  </r>
  <r>
    <x v="29"/>
    <x v="11"/>
    <s v="RasGhanada"/>
    <s v="t2"/>
    <s v="ras21_t2"/>
    <n v="0.45400000000000001"/>
    <n v="0.4945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8.5"/>
    <b v="1"/>
    <s v="ras212004"/>
    <n v="3.8584500000000013"/>
  </r>
  <r>
    <x v="29"/>
    <x v="11"/>
    <s v="RasGhanada"/>
    <s v="t1"/>
    <s v="ras21_t1"/>
    <n v="0.623"/>
    <n v="0.4844"/>
    <n v="33.7486885245902"/>
    <n v="21.894426229508198"/>
    <n v="0.69246305458646196"/>
    <n v="6.9131003827633E-2"/>
    <n v="0.47629988945983798"/>
    <n v="-4.16204469687615E-2"/>
    <n v="0.134885245901639"/>
    <n v="6.9860360329411397E-2"/>
    <n v="5.5327868852459001E-2"/>
    <n v="3.3388980872674903E-2"/>
    <n v="30"/>
    <n v="297"/>
    <s v="gulf"/>
    <n v="8.5"/>
    <b v="1"/>
    <s v="ras212004"/>
    <n v="3.8584500000000013"/>
  </r>
  <r>
    <x v="29"/>
    <x v="0"/>
    <s v="RasGhanada"/>
    <s v="t2"/>
    <s v="ras21_t2"/>
    <n v="0.627"/>
    <n v="0.71640000000000004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8.5"/>
    <b v="1"/>
    <s v="ras212005"/>
    <n v="4.4335500000000012"/>
  </r>
  <r>
    <x v="29"/>
    <x v="0"/>
    <s v="RasGhanada"/>
    <s v="t1"/>
    <s v="ras21_t1"/>
    <n v="0.442"/>
    <n v="0.43380000000000002"/>
    <n v="33.734918032786901"/>
    <n v="20.275901639344301"/>
    <n v="0.46229275374370099"/>
    <n v="8.5377454006667505E-2"/>
    <n v="0.36194669474394398"/>
    <n v="-4.9210108243816102E-2"/>
    <n v="0.107983606557377"/>
    <n v="7.0608897409905905E-2"/>
    <n v="7.2196721311475406E-2"/>
    <n v="3.9630720269395001E-2"/>
    <n v="32"/>
    <n v="306"/>
    <s v="gulf"/>
    <n v="8.5"/>
    <b v="1"/>
    <s v="ras212005"/>
    <n v="4.4335500000000012"/>
  </r>
  <r>
    <x v="29"/>
    <x v="1"/>
    <s v="RasGhanada"/>
    <s v="t1"/>
    <s v="ras21_t1"/>
    <n v="0.49399999999999999"/>
    <n v="0.4743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8.5"/>
    <b v="1"/>
    <s v="ras212006"/>
    <n v="4.9280000000000008"/>
  </r>
  <r>
    <x v="29"/>
    <x v="1"/>
    <s v="RasGhanada"/>
    <s v="t2"/>
    <s v="ras21_t2"/>
    <n v="0.47"/>
    <n v="0.51459999999999995"/>
    <n v="33.186721311475402"/>
    <n v="21.177377049180301"/>
    <n v="0.81629835566689701"/>
    <n v="6.7218257398032694E-2"/>
    <n v="0.48831929892737003"/>
    <n v="-5.12227847059308E-2"/>
    <n v="0.121114754098361"/>
    <n v="6.1861700149245698E-2"/>
    <n v="8.6672131147541007E-2"/>
    <n v="4.4012771370544802E-2"/>
    <n v="24"/>
    <n v="320"/>
    <s v="gulf"/>
    <n v="8.5"/>
    <b v="1"/>
    <s v="ras212006"/>
    <n v="4.9280000000000008"/>
  </r>
  <r>
    <x v="29"/>
    <x v="2"/>
    <s v="RasGhanada"/>
    <s v="t1"/>
    <s v="ras21_t1"/>
    <n v="0.47699999999999998"/>
    <n v="0.4642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8.5"/>
    <b v="1"/>
    <s v="ras212007"/>
    <n v="5.4426500000000004"/>
  </r>
  <r>
    <x v="29"/>
    <x v="2"/>
    <s v="RasGhanada"/>
    <s v="t2"/>
    <s v="ras21_t2"/>
    <n v="0.53400000000000003"/>
    <n v="0.56510000000000005"/>
    <n v="33.811639344262304"/>
    <n v="20.1191803278689"/>
    <n v="0.754959811473359"/>
    <n v="4.8543853150594798E-2"/>
    <n v="0.62216873469038003"/>
    <n v="-7.6432728320368806E-2"/>
    <n v="0.13665573770491801"/>
    <n v="8.1392031806129903E-2"/>
    <n v="7.3032786885245907E-2"/>
    <n v="4.8238631549521502E-2"/>
    <n v="7"/>
    <n v="314"/>
    <s v="gulf"/>
    <n v="8.5"/>
    <b v="1"/>
    <s v="ras212007"/>
    <n v="5.4426500000000004"/>
  </r>
  <r>
    <x v="29"/>
    <x v="3"/>
    <s v="RasGhanada"/>
    <s v="t1"/>
    <s v="ras21_t1"/>
    <n v="0.873"/>
    <n v="0.92830000000000001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8.5"/>
    <b v="1"/>
    <s v="ras212008"/>
    <n v="6.1691500000000001"/>
  </r>
  <r>
    <x v="29"/>
    <x v="3"/>
    <s v="RasGhanada"/>
    <s v="t2"/>
    <s v="ras21_t2"/>
    <n v="0.52200000000000002"/>
    <n v="0.52470000000000006"/>
    <n v="33.336557377049203"/>
    <n v="20.051803278688499"/>
    <n v="0.96474436717146494"/>
    <n v="0.11170704202164899"/>
    <n v="0.52303882980744199"/>
    <n v="-3.54045355393671E-2"/>
    <n v="0.14380327868852499"/>
    <n v="0.102599353420986"/>
    <n v="7.3049180327868807E-2"/>
    <n v="3.7274399717727703E-2"/>
    <n v="42"/>
    <n v="299"/>
    <s v="gulf"/>
    <n v="8.5"/>
    <b v="1"/>
    <s v="ras212008"/>
    <n v="6.1691500000000001"/>
  </r>
  <r>
    <x v="29"/>
    <x v="4"/>
    <s v="RasGhanada"/>
    <s v="t1"/>
    <s v="ras21_t1"/>
    <n v="0.31900000000000001"/>
    <n v="0.33300000000000002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8.5"/>
    <b v="1"/>
    <s v="ras212009"/>
    <n v="6.6282500000000004"/>
  </r>
  <r>
    <x v="29"/>
    <x v="4"/>
    <s v="RasGhanada"/>
    <s v="t2"/>
    <s v="ras21_t2"/>
    <n v="0.60399999999999998"/>
    <n v="0.58520000000000005"/>
    <n v="33.550655737704901"/>
    <n v="20.706885245901599"/>
    <n v="0.71002474366181201"/>
    <n v="7.5922541877598004E-2"/>
    <n v="0.46877453305563699"/>
    <n v="-0.100352224554472"/>
    <n v="0.12060655737704901"/>
    <n v="9.0348451137530997E-2"/>
    <n v="8.2245901639344296E-2"/>
    <n v="4.48187668050282E-2"/>
    <n v="42"/>
    <n v="341"/>
    <s v="gulf"/>
    <n v="8.5"/>
    <b v="1"/>
    <s v="ras212009"/>
    <n v="6.6282500000000004"/>
  </r>
  <r>
    <x v="29"/>
    <x v="5"/>
    <s v="RasGhanada"/>
    <s v="t2"/>
    <s v="ras21_t2"/>
    <n v="0.501"/>
    <n v="0.4339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8.5"/>
    <b v="1"/>
    <s v="ras212010"/>
    <n v="7.0722000000000005"/>
  </r>
  <r>
    <x v="29"/>
    <x v="5"/>
    <s v="RasGhanada"/>
    <s v="t1"/>
    <s v="ras21_t1"/>
    <n v="0.49299999999999999"/>
    <n v="0.45400000000000001"/>
    <n v="34.038360655737698"/>
    <n v="21.896229508196701"/>
    <n v="0.47584718812670002"/>
    <n v="8.4305552125776798E-2"/>
    <n v="0.287866753480778"/>
    <n v="-3.1517224348685098E-2"/>
    <n v="8.9622950819672101E-2"/>
    <n v="6.9703697638510406E-2"/>
    <n v="8.4672131147541005E-2"/>
    <n v="3.99565269225923E-2"/>
    <n v="41"/>
    <n v="296"/>
    <s v="gulf"/>
    <n v="8.5"/>
    <b v="1"/>
    <s v="ras212010"/>
    <n v="7.0722000000000005"/>
  </r>
  <r>
    <x v="29"/>
    <x v="6"/>
    <s v="RasGhanada"/>
    <s v="t2"/>
    <s v="ras21_t2"/>
    <n v="0.45800000000000002"/>
    <n v="0.38350000000000001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8.5"/>
    <b v="1"/>
    <s v="ras212011"/>
    <n v="7.4229000000000003"/>
  </r>
  <r>
    <x v="29"/>
    <x v="6"/>
    <s v="RasGhanada"/>
    <s v="t1"/>
    <s v="ras21_t1"/>
    <n v="0.38800000000000001"/>
    <n v="0.31790000000000002"/>
    <n v="33.972131147540999"/>
    <n v="21.1481967213115"/>
    <n v="0.59466917866598501"/>
    <n v="9.6909659628760803E-2"/>
    <n v="0.37544247119942098"/>
    <n v="-0.106186360456023"/>
    <n v="0.14570491803278701"/>
    <n v="0.102280014974658"/>
    <n v="8.4475409836065607E-2"/>
    <n v="4.9048141846345601E-2"/>
    <n v="47"/>
    <n v="337"/>
    <s v="gulf"/>
    <n v="8.5"/>
    <b v="1"/>
    <s v="ras212011"/>
    <n v="7.4229000000000003"/>
  </r>
  <r>
    <x v="29"/>
    <x v="7"/>
    <s v="RasGhanada"/>
    <s v="t1"/>
    <s v="ras21_t1"/>
    <n v="0.49399999999999999"/>
    <n v="0.42380000000000001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8.5"/>
    <b v="1"/>
    <s v="ras212012"/>
    <n v="7.8870500000000003"/>
  </r>
  <r>
    <x v="29"/>
    <x v="7"/>
    <s v="RasGhanada"/>
    <s v="t2"/>
    <s v="ras21_t2"/>
    <n v="0.54500000000000004"/>
    <n v="0.50449999999999995"/>
    <n v="33.840000000000003"/>
    <n v="20.094426229508201"/>
    <n v="0.510465554143679"/>
    <n v="9.1184179116763395E-2"/>
    <n v="0.36201289111485202"/>
    <n v="-6.9257521504712594E-2"/>
    <n v="0.16898360655737699"/>
    <n v="0.120009512373434"/>
    <n v="6.1557377049180302E-2"/>
    <n v="3.9535437517145701E-2"/>
    <n v="37"/>
    <n v="323"/>
    <s v="gulf"/>
    <n v="8.5"/>
    <b v="1"/>
    <s v="ras212012"/>
    <n v="7.8870500000000003"/>
  </r>
  <r>
    <x v="29"/>
    <x v="8"/>
    <s v="RasGhanada"/>
    <s v="t2"/>
    <s v="ras21_t2"/>
    <n v="0.53400000000000003"/>
    <n v="0.52969999999999995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8.5"/>
    <b v="1"/>
    <s v="ras212013"/>
    <n v="8.5"/>
  </r>
  <r>
    <x v="29"/>
    <x v="8"/>
    <s v="RasGhanada"/>
    <s v="t1"/>
    <s v="ras21_t1"/>
    <n v="0.73799999999999999"/>
    <n v="0.69620000000000004"/>
    <n v="33.568196721311502"/>
    <n v="21.3350819672131"/>
    <n v="0.72805591120192503"/>
    <n v="6.5018232703626E-2"/>
    <n v="0.36986713018200301"/>
    <n v="-2.3863028357410401E-2"/>
    <n v="0.122535714285714"/>
    <n v="9.3669431180414098E-2"/>
    <n v="7.5305084745762696E-2"/>
    <n v="6.0964448158060403E-2"/>
    <n v="20"/>
    <n v="287"/>
    <s v="gulf"/>
    <n v="8.5"/>
    <b v="1"/>
    <s v="ras212013"/>
    <n v="8.5"/>
  </r>
  <r>
    <x v="30"/>
    <x v="10"/>
    <s v="Saadiyat"/>
    <s v="t2"/>
    <s v="sad05_t2"/>
    <n v="1.1439999999999999"/>
    <n v="0.88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1"/>
    <b v="1"/>
    <s v="sad052003"/>
    <n v="3.8637499999999987"/>
  </r>
  <r>
    <x v="30"/>
    <x v="10"/>
    <s v="Saadiyat"/>
    <s v="t1"/>
    <s v="sad05_t1"/>
    <n v="1.393"/>
    <n v="0.90810000000000002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1"/>
    <b v="1"/>
    <s v="sad052003"/>
    <n v="3.8637499999999987"/>
  </r>
  <r>
    <x v="30"/>
    <x v="11"/>
    <s v="Saadiyat"/>
    <s v="t1"/>
    <s v="sad05_t1"/>
    <n v="1.2090000000000001"/>
    <n v="0.66600000000000004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1"/>
    <b v="1"/>
    <s v="sad052004"/>
    <n v="4.6517499999999989"/>
  </r>
  <r>
    <x v="30"/>
    <x v="11"/>
    <s v="Saadiyat"/>
    <s v="t2"/>
    <s v="sad05_t2"/>
    <n v="1.089"/>
    <n v="0.91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1"/>
    <b v="1"/>
    <s v="sad052004"/>
    <n v="4.6517499999999989"/>
  </r>
  <r>
    <x v="30"/>
    <x v="0"/>
    <s v="Saadiyat"/>
    <s v="t2"/>
    <s v="sad05_t2"/>
    <n v="0.67500000000000004"/>
    <n v="0.59499999999999997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1"/>
    <b v="1"/>
    <s v="sad052005"/>
    <n v="5.2292499999999986"/>
  </r>
  <r>
    <x v="30"/>
    <x v="0"/>
    <s v="Saadiyat"/>
    <s v="t1"/>
    <s v="sad05_t1"/>
    <n v="1.0840000000000001"/>
    <n v="0.56000000000000005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1"/>
    <b v="1"/>
    <s v="sad052005"/>
    <n v="5.2292499999999986"/>
  </r>
  <r>
    <x v="30"/>
    <x v="1"/>
    <s v="Saadiyat"/>
    <s v="t2"/>
    <s v="sad05_t2"/>
    <n v="0.60799999999999998"/>
    <n v="0.58499999999999996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1"/>
    <b v="1"/>
    <s v="sad052006"/>
    <n v="5.8849999999999989"/>
  </r>
  <r>
    <x v="30"/>
    <x v="1"/>
    <s v="Saadiyat"/>
    <s v="t1"/>
    <s v="sad05_t1"/>
    <n v="1.1279999999999999"/>
    <n v="0.72650000000000003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1"/>
    <b v="1"/>
    <s v="sad052006"/>
    <n v="5.8849999999999989"/>
  </r>
  <r>
    <x v="30"/>
    <x v="2"/>
    <s v="Saadiyat"/>
    <s v="t1"/>
    <s v="sad05_t1"/>
    <n v="1.1419999999999999"/>
    <n v="0.64580000000000004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1"/>
    <b v="1"/>
    <s v="sad052007"/>
    <n v="6.5553999999999988"/>
  </r>
  <r>
    <x v="30"/>
    <x v="2"/>
    <s v="Saadiyat"/>
    <s v="t2"/>
    <s v="sad05_t2"/>
    <n v="0.72199999999999998"/>
    <n v="0.6949999999999999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1"/>
    <b v="1"/>
    <s v="sad052007"/>
    <n v="6.5553999999999988"/>
  </r>
  <r>
    <x v="30"/>
    <x v="3"/>
    <s v="Saadiyat"/>
    <s v="t1"/>
    <s v="sad05_t1"/>
    <n v="1.2030000000000001"/>
    <n v="0.86780000000000002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1"/>
    <b v="1"/>
    <s v="sad052008"/>
    <n v="7.4217999999999984"/>
  </r>
  <r>
    <x v="30"/>
    <x v="3"/>
    <s v="Saadiyat"/>
    <s v="t2"/>
    <s v="sad05_t2"/>
    <n v="0.752"/>
    <n v="0.86499999999999999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1"/>
    <b v="1"/>
    <s v="sad052008"/>
    <n v="7.4217999999999984"/>
  </r>
  <r>
    <x v="30"/>
    <x v="4"/>
    <s v="Saadiyat"/>
    <s v="t1"/>
    <s v="sad05_t1"/>
    <n v="1.2729999999999999"/>
    <n v="0.90820000000000001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1"/>
    <b v="1"/>
    <s v="sad052009"/>
    <n v="8.3633999999999986"/>
  </r>
  <r>
    <x v="30"/>
    <x v="4"/>
    <s v="Saadiyat"/>
    <s v="t2"/>
    <s v="sad05_t2"/>
    <n v="0.92400000000000004"/>
    <n v="0.97499999999999998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1"/>
    <b v="1"/>
    <s v="sad052009"/>
    <n v="8.3633999999999986"/>
  </r>
  <r>
    <x v="30"/>
    <x v="5"/>
    <s v="Saadiyat"/>
    <s v="t1"/>
    <s v="sad05_t1"/>
    <n v="1.262"/>
    <n v="0.70630000000000004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1"/>
    <b v="1"/>
    <s v="sad052010"/>
    <n v="8.9815499999999986"/>
  </r>
  <r>
    <x v="30"/>
    <x v="5"/>
    <s v="Saadiyat"/>
    <s v="t2"/>
    <s v="sad05_t2"/>
    <n v="0.68899999999999995"/>
    <n v="0.53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1"/>
    <b v="1"/>
    <s v="sad052010"/>
    <n v="8.9815499999999986"/>
  </r>
  <r>
    <x v="30"/>
    <x v="6"/>
    <s v="Saadiyat"/>
    <s v="t2"/>
    <s v="sad05_t2"/>
    <n v="0.82"/>
    <n v="0.625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1"/>
    <b v="1"/>
    <s v="sad052011"/>
    <n v="9.5689999999999991"/>
  </r>
  <r>
    <x v="30"/>
    <x v="6"/>
    <s v="Saadiyat"/>
    <s v="t1"/>
    <s v="sad05_t1"/>
    <n v="1.3959999999999999"/>
    <n v="0.54990000000000006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1"/>
    <b v="1"/>
    <s v="sad052011"/>
    <n v="9.5689999999999991"/>
  </r>
  <r>
    <x v="30"/>
    <x v="7"/>
    <s v="Saadiyat"/>
    <s v="t1"/>
    <s v="sad05_t1"/>
    <n v="1.458"/>
    <n v="0.68110000000000004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1"/>
    <b v="1"/>
    <s v="sad052012"/>
    <n v="10.34455"/>
  </r>
  <r>
    <x v="30"/>
    <x v="7"/>
    <s v="Saadiyat"/>
    <s v="t2"/>
    <s v="sad05_t2"/>
    <n v="0.99"/>
    <n v="0.87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1"/>
    <b v="1"/>
    <s v="sad052012"/>
    <n v="10.34455"/>
  </r>
  <r>
    <x v="30"/>
    <x v="8"/>
    <s v="Saadiyat"/>
    <s v="t2"/>
    <s v="sad05_t2"/>
    <n v="0.68600000000000005"/>
    <n v="0.66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1"/>
    <b v="1"/>
    <s v="sad052013"/>
    <n v="11"/>
  </r>
  <r>
    <x v="30"/>
    <x v="8"/>
    <s v="Saadiyat"/>
    <s v="t1"/>
    <s v="sad05_t1"/>
    <n v="1.6539999999999999"/>
    <n v="0.65090000000000003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1"/>
    <b v="1"/>
    <s v="sad052013"/>
    <n v="11"/>
  </r>
  <r>
    <x v="31"/>
    <x v="9"/>
    <s v="Saadiyat"/>
    <s v="t2"/>
    <s v="sad07_t2"/>
    <n v="1.08"/>
    <n v="0.68110000000000004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10"/>
    <b v="1"/>
    <s v="sad072002"/>
    <n v="2.4674000000000009"/>
  </r>
  <r>
    <x v="31"/>
    <x v="10"/>
    <s v="Saadiyat"/>
    <s v="t1"/>
    <s v="sad07_t1"/>
    <n v="1.0840000000000001"/>
    <n v="0.68620000000000003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0"/>
    <b v="1"/>
    <s v="sad072003"/>
    <n v="3.1687500000000011"/>
  </r>
  <r>
    <x v="31"/>
    <x v="10"/>
    <s v="Saadiyat"/>
    <s v="t2"/>
    <s v="sad07_t2"/>
    <n v="1.3109999999999999"/>
    <n v="0.71650000000000003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0"/>
    <b v="1"/>
    <s v="sad072003"/>
    <n v="3.1687500000000011"/>
  </r>
  <r>
    <x v="31"/>
    <x v="11"/>
    <s v="Saadiyat"/>
    <s v="t2"/>
    <s v="sad07_t2"/>
    <n v="1.0589999999999999"/>
    <n v="0.56499999999999995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0"/>
    <b v="1"/>
    <s v="sad072004"/>
    <n v="3.6858500000000012"/>
  </r>
  <r>
    <x v="31"/>
    <x v="11"/>
    <s v="Saadiyat"/>
    <s v="t1"/>
    <s v="sad07_t1"/>
    <n v="0.83399999999999996"/>
    <n v="0.46920000000000001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0"/>
    <b v="1"/>
    <s v="sad072004"/>
    <n v="3.6858500000000012"/>
  </r>
  <r>
    <x v="31"/>
    <x v="0"/>
    <s v="Saadiyat"/>
    <s v="t2"/>
    <s v="sad07_t2"/>
    <n v="1.6160000000000001"/>
    <n v="0.89810000000000001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0"/>
    <b v="1"/>
    <s v="sad072005"/>
    <n v="4.566250000000001"/>
  </r>
  <r>
    <x v="31"/>
    <x v="0"/>
    <s v="Saadiyat"/>
    <s v="t1"/>
    <s v="sad07_t1"/>
    <n v="1.6180000000000001"/>
    <n v="0.86270000000000002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0"/>
    <b v="1"/>
    <s v="sad072005"/>
    <n v="4.566250000000001"/>
  </r>
  <r>
    <x v="31"/>
    <x v="1"/>
    <s v="Saadiyat"/>
    <s v="t1"/>
    <s v="sad07_t1"/>
    <n v="1.421"/>
    <n v="0.81230000000000002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0"/>
    <b v="1"/>
    <s v="sad072006"/>
    <n v="5.2473500000000008"/>
  </r>
  <r>
    <x v="31"/>
    <x v="1"/>
    <s v="Saadiyat"/>
    <s v="t2"/>
    <s v="sad07_t2"/>
    <n v="1.052"/>
    <n v="0.54990000000000006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0"/>
    <b v="1"/>
    <s v="sad072006"/>
    <n v="5.2473500000000008"/>
  </r>
  <r>
    <x v="31"/>
    <x v="2"/>
    <s v="Saadiyat"/>
    <s v="t2"/>
    <s v="sad07_t2"/>
    <n v="1.1060000000000001"/>
    <n v="0.60040000000000004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0"/>
    <b v="1"/>
    <s v="sad072007"/>
    <n v="5.9890000000000008"/>
  </r>
  <r>
    <x v="31"/>
    <x v="2"/>
    <s v="Saadiyat"/>
    <s v="t1"/>
    <s v="sad07_t1"/>
    <n v="1.593"/>
    <n v="0.88290000000000002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0"/>
    <b v="1"/>
    <s v="sad072007"/>
    <n v="5.9890000000000008"/>
  </r>
  <r>
    <x v="31"/>
    <x v="3"/>
    <s v="Saadiyat"/>
    <s v="t2"/>
    <s v="sad07_t2"/>
    <n v="1.1539999999999999"/>
    <n v="0.68110000000000004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0"/>
    <b v="1"/>
    <s v="sad072008"/>
    <n v="6.6222000000000003"/>
  </r>
  <r>
    <x v="31"/>
    <x v="3"/>
    <s v="Saadiyat"/>
    <s v="t1"/>
    <s v="sad07_t1"/>
    <n v="1.024"/>
    <n v="0.58530000000000004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0"/>
    <b v="1"/>
    <s v="sad072008"/>
    <n v="6.6222000000000003"/>
  </r>
  <r>
    <x v="31"/>
    <x v="4"/>
    <s v="Saadiyat"/>
    <s v="t1"/>
    <s v="sad07_t1"/>
    <n v="0.95399999999999996"/>
    <n v="0.56510000000000005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0"/>
    <b v="1"/>
    <s v="sad072009"/>
    <n v="7.1469000000000005"/>
  </r>
  <r>
    <x v="31"/>
    <x v="4"/>
    <s v="Saadiyat"/>
    <s v="t2"/>
    <s v="sad07_t2"/>
    <n v="0.81299999999999994"/>
    <n v="0.48430000000000001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0"/>
    <b v="1"/>
    <s v="sad072009"/>
    <n v="7.1469000000000005"/>
  </r>
  <r>
    <x v="31"/>
    <x v="5"/>
    <s v="Saadiyat"/>
    <s v="t1"/>
    <s v="sad07_t1"/>
    <n v="1.4610000000000001"/>
    <n v="0.83240000000000003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0"/>
    <b v="1"/>
    <s v="sad072010"/>
    <n v="7.820450000000001"/>
  </r>
  <r>
    <x v="31"/>
    <x v="5"/>
    <s v="Saadiyat"/>
    <s v="t2"/>
    <s v="sad07_t2"/>
    <n v="0.83899999999999997"/>
    <n v="0.51470000000000005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0"/>
    <b v="1"/>
    <s v="sad072010"/>
    <n v="7.820450000000001"/>
  </r>
  <r>
    <x v="31"/>
    <x v="6"/>
    <s v="Saadiyat"/>
    <s v="t2"/>
    <s v="sad07_t2"/>
    <n v="0.81100000000000005"/>
    <n v="0.53480000000000005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0"/>
    <b v="1"/>
    <s v="sad072011"/>
    <n v="8.4738000000000007"/>
  </r>
  <r>
    <x v="31"/>
    <x v="6"/>
    <s v="Saadiyat"/>
    <s v="t1"/>
    <s v="sad07_t1"/>
    <n v="1.1930000000000001"/>
    <n v="0.77190000000000003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0"/>
    <b v="1"/>
    <s v="sad072011"/>
    <n v="8.4738000000000007"/>
  </r>
  <r>
    <x v="31"/>
    <x v="7"/>
    <s v="Saadiyat"/>
    <s v="t2"/>
    <s v="sad07_t2"/>
    <n v="1.016"/>
    <n v="0.72140000000000004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0"/>
    <b v="1"/>
    <s v="sad072012"/>
    <n v="9.2154500000000006"/>
  </r>
  <r>
    <x v="31"/>
    <x v="7"/>
    <s v="Saadiyat"/>
    <s v="t1"/>
    <s v="sad07_t1"/>
    <n v="1.1140000000000001"/>
    <n v="0.76190000000000002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0"/>
    <b v="1"/>
    <s v="sad072012"/>
    <n v="9.2154500000000006"/>
  </r>
  <r>
    <x v="31"/>
    <x v="8"/>
    <s v="Saadiyat"/>
    <s v="t2"/>
    <s v="sad07_t2"/>
    <n v="0.95599999999999996"/>
    <n v="0.71650000000000003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0"/>
    <b v="1"/>
    <s v="sad072013"/>
    <n v="10"/>
  </r>
  <r>
    <x v="31"/>
    <x v="8"/>
    <s v="Saadiyat"/>
    <s v="t1"/>
    <s v="sad07_t1"/>
    <n v="1.3140000000000001"/>
    <n v="0.8526000000000000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0"/>
    <b v="1"/>
    <s v="sad072013"/>
    <n v="10"/>
  </r>
  <r>
    <x v="32"/>
    <x v="13"/>
    <s v="Saadiyat"/>
    <s v="t1"/>
    <s v="sad08_t1"/>
    <n v="0.751"/>
    <n v="0.52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n v="11"/>
    <b v="1"/>
    <s v="sad082001"/>
    <n v="3.6244999999999989"/>
  </r>
  <r>
    <x v="32"/>
    <x v="13"/>
    <s v="Saadiyat"/>
    <s v="t2"/>
    <s v="sad08_t2"/>
    <n v="1.4039999999999999"/>
    <n v="0.98939999999999995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n v="11"/>
    <b v="1"/>
    <s v="sad082001"/>
    <n v="3.6244999999999989"/>
  </r>
  <r>
    <x v="32"/>
    <x v="9"/>
    <s v="Saadiyat"/>
    <s v="t1"/>
    <s v="sad08_t1"/>
    <n v="0.745"/>
    <n v="0.55500000000000005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11"/>
    <b v="1"/>
    <s v="sad082002"/>
    <n v="4.205449999999999"/>
  </r>
  <r>
    <x v="32"/>
    <x v="9"/>
    <s v="Saadiyat"/>
    <s v="t2"/>
    <s v="sad08_t2"/>
    <n v="0.498"/>
    <n v="0.6069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11"/>
    <b v="1"/>
    <s v="sad082002"/>
    <n v="4.205449999999999"/>
  </r>
  <r>
    <x v="32"/>
    <x v="10"/>
    <s v="Saadiyat"/>
    <s v="t2"/>
    <s v="sad08_t2"/>
    <n v="0.29599999999999999"/>
    <n v="0.4743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1"/>
    <b v="1"/>
    <s v="sad082003"/>
    <n v="4.7425999999999995"/>
  </r>
  <r>
    <x v="32"/>
    <x v="10"/>
    <s v="Saadiyat"/>
    <s v="t1"/>
    <s v="sad08_t1"/>
    <n v="0.84"/>
    <n v="0.6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1"/>
    <b v="1"/>
    <s v="sad082003"/>
    <n v="4.7425999999999995"/>
  </r>
  <r>
    <x v="32"/>
    <x v="11"/>
    <s v="Saadiyat"/>
    <s v="t1"/>
    <s v="sad08_t1"/>
    <n v="1.1259999999999999"/>
    <n v="0.70499999999999996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1"/>
    <b v="1"/>
    <s v="sad082004"/>
    <n v="5.3908999999999994"/>
  </r>
  <r>
    <x v="32"/>
    <x v="11"/>
    <s v="Saadiyat"/>
    <s v="t2"/>
    <s v="sad08_t2"/>
    <n v="0.47899999999999998"/>
    <n v="0.59160000000000001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1"/>
    <b v="1"/>
    <s v="sad082004"/>
    <n v="5.3908999999999994"/>
  </r>
  <r>
    <x v="32"/>
    <x v="0"/>
    <s v="Saadiyat"/>
    <s v="t2"/>
    <s v="sad08_t2"/>
    <n v="1.1379999999999999"/>
    <n v="0.92820000000000003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1"/>
    <b v="1"/>
    <s v="sad082005"/>
    <n v="6.1449999999999996"/>
  </r>
  <r>
    <x v="32"/>
    <x v="0"/>
    <s v="Saadiyat"/>
    <s v="t1"/>
    <s v="sad08_t1"/>
    <n v="1.04"/>
    <n v="0.57999999999999996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1"/>
    <b v="1"/>
    <s v="sad082005"/>
    <n v="6.1449999999999996"/>
  </r>
  <r>
    <x v="32"/>
    <x v="1"/>
    <s v="Saadiyat"/>
    <s v="t1"/>
    <s v="sad08_t1"/>
    <n v="1.2529999999999999"/>
    <n v="0.995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1"/>
    <b v="1"/>
    <s v="sad082006"/>
    <n v="6.9656999999999991"/>
  </r>
  <r>
    <x v="32"/>
    <x v="1"/>
    <s v="Saadiyat"/>
    <s v="t2"/>
    <s v="sad08_t2"/>
    <n v="0.56699999999999995"/>
    <n v="0.64639999999999997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1"/>
    <b v="1"/>
    <s v="sad082006"/>
    <n v="6.9656999999999991"/>
  </r>
  <r>
    <x v="32"/>
    <x v="2"/>
    <s v="Saadiyat"/>
    <s v="t2"/>
    <s v="sad08_t2"/>
    <n v="0.16500000000000001"/>
    <n v="0.34810000000000002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1"/>
    <b v="1"/>
    <s v="sad082007"/>
    <n v="7.4947499999999989"/>
  </r>
  <r>
    <x v="32"/>
    <x v="2"/>
    <s v="Saadiyat"/>
    <s v="t1"/>
    <s v="sad08_t1"/>
    <n v="0.81499999999999995"/>
    <n v="0.71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1"/>
    <b v="1"/>
    <s v="sad082007"/>
    <n v="7.4947499999999989"/>
  </r>
  <r>
    <x v="32"/>
    <x v="3"/>
    <s v="Saadiyat"/>
    <s v="t2"/>
    <s v="sad08_t2"/>
    <n v="0.40699999999999997"/>
    <n v="0.59030000000000005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1"/>
    <b v="1"/>
    <s v="sad082008"/>
    <n v="8.059899999999999"/>
  </r>
  <r>
    <x v="32"/>
    <x v="3"/>
    <s v="Saadiyat"/>
    <s v="t1"/>
    <s v="sad08_t1"/>
    <n v="0.78800000000000003"/>
    <n v="0.54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1"/>
    <b v="1"/>
    <s v="sad082008"/>
    <n v="8.059899999999999"/>
  </r>
  <r>
    <x v="32"/>
    <x v="4"/>
    <s v="Saadiyat"/>
    <s v="t2"/>
    <s v="sad08_t2"/>
    <n v="0.63"/>
    <n v="0.74670000000000003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1"/>
    <b v="1"/>
    <s v="sad082009"/>
    <n v="8.7307499999999987"/>
  </r>
  <r>
    <x v="32"/>
    <x v="4"/>
    <s v="Saadiyat"/>
    <s v="t1"/>
    <s v="sad08_t1"/>
    <n v="0.81799999999999995"/>
    <n v="0.59499999999999997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1"/>
    <b v="1"/>
    <s v="sad082009"/>
    <n v="8.7307499999999987"/>
  </r>
  <r>
    <x v="32"/>
    <x v="5"/>
    <s v="Saadiyat"/>
    <s v="t2"/>
    <s v="sad08_t2"/>
    <n v="0.30499999999999999"/>
    <n v="0.46920000000000001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1"/>
    <b v="1"/>
    <s v="sad082010"/>
    <n v="9.3928499999999993"/>
  </r>
  <r>
    <x v="32"/>
    <x v="5"/>
    <s v="Saadiyat"/>
    <s v="t1"/>
    <s v="sad08_t1"/>
    <n v="1.0920000000000001"/>
    <n v="0.85499999999999998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1"/>
    <b v="1"/>
    <s v="sad082010"/>
    <n v="9.3928499999999993"/>
  </r>
  <r>
    <x v="32"/>
    <x v="6"/>
    <s v="Saadiyat"/>
    <s v="t2"/>
    <s v="sad08_t2"/>
    <n v="0.51900000000000002"/>
    <n v="0.61550000000000005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1"/>
    <b v="1"/>
    <s v="sad082011"/>
    <n v="9.8780999999999999"/>
  </r>
  <r>
    <x v="32"/>
    <x v="6"/>
    <s v="Saadiyat"/>
    <s v="t1"/>
    <s v="sad08_t1"/>
    <n v="0.56100000000000005"/>
    <n v="0.35499999999999998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1"/>
    <b v="1"/>
    <s v="sad082011"/>
    <n v="9.8780999999999999"/>
  </r>
  <r>
    <x v="32"/>
    <x v="7"/>
    <s v="Saadiyat"/>
    <s v="t2"/>
    <s v="sad08_t2"/>
    <n v="0.224"/>
    <n v="0.42380000000000001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1"/>
    <b v="1"/>
    <s v="sad082012"/>
    <n v="10.4575"/>
  </r>
  <r>
    <x v="32"/>
    <x v="7"/>
    <s v="Saadiyat"/>
    <s v="t1"/>
    <s v="sad08_t1"/>
    <n v="0.86199999999999999"/>
    <n v="0.73499999999999999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1"/>
    <b v="1"/>
    <s v="sad082012"/>
    <n v="10.4575"/>
  </r>
  <r>
    <x v="32"/>
    <x v="8"/>
    <s v="Saadiyat"/>
    <s v="t2"/>
    <s v="sad08_t2"/>
    <n v="0.38300000000000001"/>
    <n v="0.55500000000000005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1"/>
    <b v="1"/>
    <s v="sad082013"/>
    <n v="11"/>
  </r>
  <r>
    <x v="32"/>
    <x v="8"/>
    <s v="Saadiyat"/>
    <s v="t1"/>
    <s v="sad08_t1"/>
    <n v="0.68100000000000005"/>
    <n v="0.53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1"/>
    <b v="1"/>
    <s v="sad082013"/>
    <n v="11"/>
  </r>
  <r>
    <x v="33"/>
    <x v="12"/>
    <s v="Saadiyat"/>
    <s v="t1"/>
    <s v="sad12_t1"/>
    <n v="1.079"/>
    <n v="0.54490000000000005"/>
    <n v="33.608032786885197"/>
    <n v="20.774754098360699"/>
    <n v="0.64039989214390403"/>
    <n v="0.12020405811417099"/>
    <n v="0.45321010459510203"/>
    <n v="-3.6764538831954602E-2"/>
    <n v="0.122245901639344"/>
    <n v="7.1671160108211104E-2"/>
    <n v="0.122065573770492"/>
    <n v="2.54393847229442E-2"/>
    <n v="42"/>
    <n v="290"/>
    <s v="gulf"/>
    <n v="9"/>
    <b v="1"/>
    <s v="sad122000"/>
    <n v="1.7297999999999991"/>
  </r>
  <r>
    <x v="33"/>
    <x v="13"/>
    <s v="Saadiyat"/>
    <s v="t1"/>
    <s v="sad12_t1"/>
    <n v="1.175"/>
    <n v="0.68620000000000003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n v="9"/>
    <b v="1"/>
    <s v="sad122001"/>
    <n v="2.415999999999999"/>
  </r>
  <r>
    <x v="33"/>
    <x v="9"/>
    <s v="Saadiyat"/>
    <s v="t1"/>
    <s v="sad12_t1"/>
    <n v="0.67700000000000005"/>
    <n v="0.42380000000000001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9"/>
    <b v="1"/>
    <s v="sad122002"/>
    <n v="2.839799999999999"/>
  </r>
  <r>
    <x v="33"/>
    <x v="10"/>
    <s v="Saadiyat"/>
    <s v="t1"/>
    <s v="sad12_t1"/>
    <n v="0.57399999999999995"/>
    <n v="0.43380000000000002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9"/>
    <b v="1"/>
    <s v="sad122003"/>
    <n v="3.2735999999999992"/>
  </r>
  <r>
    <x v="33"/>
    <x v="11"/>
    <s v="Saadiyat"/>
    <s v="t1"/>
    <s v="sad12_t1"/>
    <n v="0.48699999999999999"/>
    <n v="0.34310000000000002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9"/>
    <b v="1"/>
    <s v="sad122004"/>
    <n v="3.6166999999999994"/>
  </r>
  <r>
    <x v="33"/>
    <x v="0"/>
    <s v="Saadiyat"/>
    <s v="t1"/>
    <s v="sad12_t1"/>
    <n v="0.54700000000000004"/>
    <n v="0.35320000000000001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9"/>
    <b v="1"/>
    <s v="sad122005"/>
    <n v="3.9698999999999995"/>
  </r>
  <r>
    <x v="33"/>
    <x v="1"/>
    <s v="Saadiyat"/>
    <s v="t2"/>
    <s v="sad12_t2"/>
    <n v="1.5529999999999999"/>
    <n v="1.0494000000000001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9"/>
    <b v="1"/>
    <s v="sad122006"/>
    <n v="4.6837999999999997"/>
  </r>
  <r>
    <x v="33"/>
    <x v="1"/>
    <s v="Saadiyat"/>
    <s v="t1"/>
    <s v="sad12_t1"/>
    <n v="0.64900000000000002"/>
    <n v="0.37840000000000001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9"/>
    <b v="1"/>
    <s v="sad122006"/>
    <n v="4.6837999999999997"/>
  </r>
  <r>
    <x v="33"/>
    <x v="2"/>
    <s v="Saadiyat"/>
    <s v="t2"/>
    <s v="sad12_t2"/>
    <n v="0.61399999999999999"/>
    <n v="0.5449000000000000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9"/>
    <b v="1"/>
    <s v="sad122007"/>
    <n v="5.2538999999999998"/>
  </r>
  <r>
    <x v="33"/>
    <x v="2"/>
    <s v="Saadiyat"/>
    <s v="t1"/>
    <s v="sad12_t1"/>
    <n v="1.0569999999999999"/>
    <n v="0.5953000000000000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9"/>
    <b v="1"/>
    <s v="sad122007"/>
    <n v="5.2538999999999998"/>
  </r>
  <r>
    <x v="33"/>
    <x v="3"/>
    <s v="Saadiyat"/>
    <s v="t1"/>
    <s v="sad12_t1"/>
    <n v="0.93100000000000005"/>
    <n v="0.58020000000000005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9"/>
    <b v="1"/>
    <s v="sad122008"/>
    <n v="5.9400500000000003"/>
  </r>
  <r>
    <x v="33"/>
    <x v="3"/>
    <s v="Saadiyat"/>
    <s v="t2"/>
    <s v="sad12_t2"/>
    <n v="1.077"/>
    <n v="0.79210000000000003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9"/>
    <b v="1"/>
    <s v="sad122008"/>
    <n v="5.9400500000000003"/>
  </r>
  <r>
    <x v="33"/>
    <x v="4"/>
    <s v="Saadiyat"/>
    <s v="t2"/>
    <s v="sad12_t2"/>
    <n v="0.97699999999999998"/>
    <n v="0.72650000000000003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9"/>
    <b v="1"/>
    <s v="sad122009"/>
    <n v="6.49505"/>
  </r>
  <r>
    <x v="33"/>
    <x v="4"/>
    <s v="Saadiyat"/>
    <s v="t1"/>
    <s v="sad12_t1"/>
    <n v="0.61599999999999999"/>
    <n v="0.38350000000000001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9"/>
    <b v="1"/>
    <s v="sad122009"/>
    <n v="6.49505"/>
  </r>
  <r>
    <x v="33"/>
    <x v="5"/>
    <s v="Saadiyat"/>
    <s v="t1"/>
    <s v="sad12_t1"/>
    <n v="1.61"/>
    <n v="1.226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9"/>
    <b v="1"/>
    <s v="sad122010"/>
    <n v="7.3426499999999999"/>
  </r>
  <r>
    <x v="33"/>
    <x v="5"/>
    <s v="Saadiyat"/>
    <s v="t2"/>
    <s v="sad12_t2"/>
    <n v="0.65400000000000003"/>
    <n v="0.46920000000000001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9"/>
    <b v="1"/>
    <s v="sad122010"/>
    <n v="7.3426499999999999"/>
  </r>
  <r>
    <x v="33"/>
    <x v="6"/>
    <s v="Saadiyat"/>
    <s v="t1"/>
    <s v="sad12_t1"/>
    <n v="1.1060000000000001"/>
    <n v="0.83240000000000003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9"/>
    <b v="1"/>
    <s v="sad122011"/>
    <n v="7.8774499999999996"/>
  </r>
  <r>
    <x v="33"/>
    <x v="6"/>
    <s v="Saadiyat"/>
    <s v="t2"/>
    <s v="sad12_t2"/>
    <n v="0.38100000000000001"/>
    <n v="0.23719999999999999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9"/>
    <b v="1"/>
    <s v="sad122011"/>
    <n v="7.8774499999999996"/>
  </r>
  <r>
    <x v="33"/>
    <x v="7"/>
    <s v="Saadiyat"/>
    <s v="t1"/>
    <s v="sad12_t1"/>
    <n v="1.222"/>
    <n v="0.78200000000000003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9"/>
    <b v="1"/>
    <s v="sad122012"/>
    <n v="8.5559999999999992"/>
  </r>
  <r>
    <x v="33"/>
    <x v="7"/>
    <s v="Saadiyat"/>
    <s v="t2"/>
    <s v="sad12_t2"/>
    <n v="1.0109999999999999"/>
    <n v="0.57509999999999994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9"/>
    <b v="1"/>
    <s v="sad122012"/>
    <n v="8.5559999999999992"/>
  </r>
  <r>
    <x v="33"/>
    <x v="8"/>
    <s v="Saadiyat"/>
    <s v="t1"/>
    <s v="sad12_t1"/>
    <n v="0.82299999999999995"/>
    <n v="0.53480000000000005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9"/>
    <b v="1"/>
    <s v="sad122013"/>
    <n v="9"/>
  </r>
  <r>
    <x v="33"/>
    <x v="8"/>
    <s v="Saadiyat"/>
    <s v="t2"/>
    <s v="sad12_t2"/>
    <n v="0.628"/>
    <n v="0.35320000000000001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9"/>
    <b v="1"/>
    <s v="sad122013"/>
    <n v="9"/>
  </r>
  <r>
    <x v="34"/>
    <x v="9"/>
    <s v="Saadiyat"/>
    <s v="t2"/>
    <s v="sad13_t2"/>
    <n v="0.39"/>
    <n v="0.26229999999999998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5"/>
    <b v="1"/>
    <s v="sad132002"/>
    <n v="1.0647000000000002"/>
  </r>
  <r>
    <x v="34"/>
    <x v="10"/>
    <s v="Saadiyat"/>
    <s v="t2"/>
    <s v="sad13_t2"/>
    <n v="0.42899999999999999"/>
    <n v="0.29270000000000002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5"/>
    <b v="1"/>
    <s v="sad132003"/>
    <n v="1.3271000000000002"/>
  </r>
  <r>
    <x v="34"/>
    <x v="10"/>
    <s v="Saadiyat"/>
    <s v="t1"/>
    <s v="sad13_t1"/>
    <n v="0.33700000000000002"/>
    <n v="0.2321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5"/>
    <b v="1"/>
    <s v="sad132003"/>
    <n v="1.3271000000000002"/>
  </r>
  <r>
    <x v="34"/>
    <x v="11"/>
    <s v="Saadiyat"/>
    <s v="t2"/>
    <s v="sad13_t2"/>
    <n v="0.64200000000000002"/>
    <n v="0.49440000000000001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5"/>
    <b v="1"/>
    <s v="sad132004"/>
    <n v="1.7736000000000001"/>
  </r>
  <r>
    <x v="34"/>
    <x v="11"/>
    <s v="Saadiyat"/>
    <s v="t1"/>
    <s v="sad13_t1"/>
    <n v="0.53200000000000003"/>
    <n v="0.39860000000000001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5"/>
    <b v="1"/>
    <s v="sad132004"/>
    <n v="1.7736000000000001"/>
  </r>
  <r>
    <x v="34"/>
    <x v="0"/>
    <s v="Saadiyat"/>
    <s v="t2"/>
    <s v="sad13_t2"/>
    <n v="0.76300000000000001"/>
    <n v="0.60540000000000005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5"/>
    <b v="1"/>
    <s v="sad132005"/>
    <n v="2.3437000000000001"/>
  </r>
  <r>
    <x v="34"/>
    <x v="0"/>
    <s v="Saadiyat"/>
    <s v="t1"/>
    <s v="sad13_t1"/>
    <n v="0.64"/>
    <n v="0.53480000000000005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5"/>
    <b v="1"/>
    <s v="sad132005"/>
    <n v="2.3437000000000001"/>
  </r>
  <r>
    <x v="34"/>
    <x v="1"/>
    <s v="Saadiyat"/>
    <s v="t2"/>
    <s v="sad13_t2"/>
    <n v="0.433"/>
    <n v="0.31280000000000002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5"/>
    <b v="1"/>
    <s v="sad132006"/>
    <n v="2.7523499999999999"/>
  </r>
  <r>
    <x v="34"/>
    <x v="1"/>
    <s v="Saadiyat"/>
    <s v="t1"/>
    <s v="sad13_t1"/>
    <n v="0.621"/>
    <n v="0.50449999999999995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5"/>
    <b v="1"/>
    <s v="sad132006"/>
    <n v="2.7523499999999999"/>
  </r>
  <r>
    <x v="34"/>
    <x v="2"/>
    <s v="Saadiyat"/>
    <s v="t1"/>
    <s v="sad13_t1"/>
    <n v="0.48299999999999998"/>
    <n v="0.37330000000000002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5"/>
    <b v="1"/>
    <s v="sad132007"/>
    <n v="3.1585000000000001"/>
  </r>
  <r>
    <x v="34"/>
    <x v="2"/>
    <s v="Saadiyat"/>
    <s v="t2"/>
    <s v="sad13_t2"/>
    <n v="0.61"/>
    <n v="0.439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5"/>
    <b v="1"/>
    <s v="sad132007"/>
    <n v="3.1585000000000001"/>
  </r>
  <r>
    <x v="34"/>
    <x v="3"/>
    <s v="Saadiyat"/>
    <s v="t1"/>
    <s v="sad13_t1"/>
    <n v="0.49299999999999999"/>
    <n v="0.36330000000000001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5"/>
    <b v="1"/>
    <s v="sad132008"/>
    <n v="3.4637500000000001"/>
  </r>
  <r>
    <x v="34"/>
    <x v="3"/>
    <s v="Saadiyat"/>
    <s v="t2"/>
    <s v="sad13_t2"/>
    <n v="0.33400000000000002"/>
    <n v="0.2472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5"/>
    <b v="1"/>
    <s v="sad132008"/>
    <n v="3.4637500000000001"/>
  </r>
  <r>
    <x v="34"/>
    <x v="4"/>
    <s v="Saadiyat"/>
    <s v="t2"/>
    <s v="sad13_t2"/>
    <n v="0.69099999999999995"/>
    <n v="0.50449999999999995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5"/>
    <b v="1"/>
    <s v="sad132009"/>
    <n v="3.8673500000000001"/>
  </r>
  <r>
    <x v="34"/>
    <x v="4"/>
    <s v="Saadiyat"/>
    <s v="t1"/>
    <s v="sad13_t1"/>
    <n v="0.46800000000000003"/>
    <n v="0.30270000000000002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5"/>
    <b v="1"/>
    <s v="sad132009"/>
    <n v="3.8673500000000001"/>
  </r>
  <r>
    <x v="34"/>
    <x v="5"/>
    <s v="Saadiyat"/>
    <s v="t1"/>
    <s v="sad13_t1"/>
    <n v="0.50900000000000001"/>
    <n v="0.32290000000000002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5"/>
    <b v="1"/>
    <s v="sad132010"/>
    <n v="4.1272000000000002"/>
  </r>
  <r>
    <x v="34"/>
    <x v="5"/>
    <s v="Saadiyat"/>
    <s v="t2"/>
    <s v="sad13_t2"/>
    <n v="0.29599999999999999"/>
    <n v="0.1968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5"/>
    <b v="1"/>
    <s v="sad132010"/>
    <n v="4.1272000000000002"/>
  </r>
  <r>
    <x v="34"/>
    <x v="6"/>
    <s v="Saadiyat"/>
    <s v="t2"/>
    <s v="sad13_t2"/>
    <n v="0.42799999999999999"/>
    <n v="0.28760000000000002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5"/>
    <b v="1"/>
    <s v="sad132011"/>
    <n v="4.3971499999999999"/>
  </r>
  <r>
    <x v="34"/>
    <x v="6"/>
    <s v="Saadiyat"/>
    <s v="t1"/>
    <s v="sad13_t1"/>
    <n v="0.39400000000000002"/>
    <n v="0.25230000000000002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5"/>
    <b v="1"/>
    <s v="sad132011"/>
    <n v="4.3971499999999999"/>
  </r>
  <r>
    <x v="34"/>
    <x v="7"/>
    <s v="Saadiyat"/>
    <s v="t1"/>
    <s v="sad13_t1"/>
    <n v="0.42099999999999999"/>
    <n v="0.31280000000000002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5"/>
    <b v="1"/>
    <s v="sad132012"/>
    <n v="4.72"/>
  </r>
  <r>
    <x v="34"/>
    <x v="7"/>
    <s v="Saadiyat"/>
    <s v="t2"/>
    <s v="sad13_t2"/>
    <n v="0.43099999999999999"/>
    <n v="0.33289999999999997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5"/>
    <b v="1"/>
    <s v="sad132012"/>
    <n v="4.72"/>
  </r>
  <r>
    <x v="34"/>
    <x v="8"/>
    <s v="Saadiyat"/>
    <s v="t2"/>
    <s v="sad13_t2"/>
    <n v="0.35499999999999998"/>
    <n v="0.3128000000000000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5"/>
    <b v="1"/>
    <s v="sad132013"/>
    <n v="5"/>
  </r>
  <r>
    <x v="34"/>
    <x v="8"/>
    <s v="Saadiyat"/>
    <s v="t1"/>
    <s v="sad13_t1"/>
    <n v="0.315"/>
    <n v="0.247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5"/>
    <b v="1"/>
    <s v="sad132013"/>
    <n v="5"/>
  </r>
  <r>
    <x v="35"/>
    <x v="5"/>
    <s v="Saadiyat"/>
    <s v="t2"/>
    <s v="sad14_t2"/>
    <n v="0.56699999999999995"/>
    <n v="0.50960000000000005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4"/>
    <b v="1"/>
    <s v="sad142010"/>
    <n v="2.3880499999999998"/>
  </r>
  <r>
    <x v="35"/>
    <x v="6"/>
    <s v="Saadiyat"/>
    <s v="t2"/>
    <s v="sad14_t2"/>
    <n v="0.85499999999999998"/>
    <n v="0.76180000000000003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4"/>
    <b v="1"/>
    <s v="sad142011"/>
    <n v="3.1624999999999996"/>
  </r>
  <r>
    <x v="35"/>
    <x v="6"/>
    <s v="Saadiyat"/>
    <s v="t1"/>
    <s v="sad14_t1"/>
    <n v="0.93500000000000005"/>
    <n v="0.78710000000000002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4"/>
    <b v="1"/>
    <s v="sad142011"/>
    <n v="3.1624999999999996"/>
  </r>
  <r>
    <x v="35"/>
    <x v="7"/>
    <s v="Saadiyat"/>
    <s v="t1"/>
    <s v="sad14_t1"/>
    <n v="0.70099999999999996"/>
    <n v="0.54490000000000005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4"/>
    <b v="1"/>
    <s v="sad142012"/>
    <n v="3.6342499999999998"/>
  </r>
  <r>
    <x v="35"/>
    <x v="7"/>
    <s v="Saadiyat"/>
    <s v="t2"/>
    <s v="sad14_t2"/>
    <n v="0.45100000000000001"/>
    <n v="0.39860000000000001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4"/>
    <b v="1"/>
    <s v="sad142012"/>
    <n v="3.6342499999999998"/>
  </r>
  <r>
    <x v="35"/>
    <x v="8"/>
    <s v="Saadiyat"/>
    <s v="t2"/>
    <s v="sad14_t2"/>
    <n v="0.38600000000000001"/>
    <n v="0.3481000000000000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4"/>
    <b v="1"/>
    <s v="sad142013"/>
    <n v="4"/>
  </r>
  <r>
    <x v="35"/>
    <x v="8"/>
    <s v="Saadiyat"/>
    <s v="t1"/>
    <s v="sad14_t1"/>
    <n v="0.59099999999999997"/>
    <n v="0.3834000000000000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4"/>
    <b v="1"/>
    <s v="sad142013"/>
    <n v="4"/>
  </r>
  <r>
    <x v="36"/>
    <x v="12"/>
    <s v="Saadiyat"/>
    <s v="t1"/>
    <s v="sad15_t1"/>
    <n v="0.79900000000000004"/>
    <n v="0.53"/>
    <n v="33.608032786885197"/>
    <n v="20.774754098360699"/>
    <n v="0.64039989214390403"/>
    <n v="0.12020405811417099"/>
    <n v="0.45321010459510203"/>
    <n v="-3.6764538831954602E-2"/>
    <n v="0.122245901639344"/>
    <n v="7.1671160108211104E-2"/>
    <n v="0.122065573770492"/>
    <n v="2.54393847229442E-2"/>
    <n v="42"/>
    <n v="290"/>
    <s v="gulf"/>
    <n v="14"/>
    <b v="1"/>
    <s v="sad152000"/>
    <n v="3.9099999999999979"/>
  </r>
  <r>
    <x v="36"/>
    <x v="12"/>
    <s v="Saadiyat"/>
    <s v="t2"/>
    <s v="sad15_t2"/>
    <n v="1.2"/>
    <n v="0.79"/>
    <n v="33.608032786885197"/>
    <n v="20.774754098360699"/>
    <n v="0.64039989214390403"/>
    <n v="0.12020405811417099"/>
    <n v="0.45321010459510203"/>
    <n v="-3.6764538831954602E-2"/>
    <n v="0.122245901639344"/>
    <n v="7.1671160108211104E-2"/>
    <n v="0.122065573770492"/>
    <n v="2.54393847229442E-2"/>
    <n v="42"/>
    <n v="290"/>
    <s v="gulf"/>
    <n v="14"/>
    <b v="1"/>
    <s v="sad152000"/>
    <n v="3.9099999999999979"/>
  </r>
  <r>
    <x v="36"/>
    <x v="13"/>
    <s v="Saadiyat"/>
    <s v="t2"/>
    <s v="sad15_t2"/>
    <n v="0.96899999999999997"/>
    <n v="0.63500000000000001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n v="14"/>
    <b v="1"/>
    <s v="sad152001"/>
    <n v="4.7774999999999981"/>
  </r>
  <r>
    <x v="36"/>
    <x v="13"/>
    <s v="Saadiyat"/>
    <s v="t1"/>
    <s v="sad15_t1"/>
    <n v="1.6719999999999999"/>
    <n v="1.1000000000000001"/>
    <n v="33.547868852458997"/>
    <n v="20.528524590163901"/>
    <n v="0.62246241135663205"/>
    <n v="9.5389636580647794E-2"/>
    <n v="0.50086629870687804"/>
    <n v="-2.32310161748365E-2"/>
    <n v="9.2032786885245896E-2"/>
    <n v="5.8501272696444999E-2"/>
    <n v="9.55245901639344E-2"/>
    <n v="4.0556383203871102E-2"/>
    <n v="35"/>
    <n v="294"/>
    <s v="gulf"/>
    <n v="14"/>
    <b v="1"/>
    <s v="sad152001"/>
    <n v="4.7774999999999981"/>
  </r>
  <r>
    <x v="36"/>
    <x v="9"/>
    <s v="Saadiyat"/>
    <s v="t2"/>
    <s v="sad15_t2"/>
    <n v="1.5960000000000001"/>
    <n v="1.02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14"/>
    <b v="1"/>
    <s v="sad152002"/>
    <n v="5.469999999999998"/>
  </r>
  <r>
    <x v="36"/>
    <x v="9"/>
    <s v="Saadiyat"/>
    <s v="t1"/>
    <s v="sad15_t1"/>
    <n v="0.63900000000000001"/>
    <n v="0.36499999999999999"/>
    <n v="33.969836065573801"/>
    <n v="20.8691803278689"/>
    <n v="0.77184043057695795"/>
    <n v="9.4534386961353301E-2"/>
    <n v="0.41992257938529098"/>
    <n v="-5.11983372432811E-2"/>
    <n v="9.7606557377049194E-2"/>
    <n v="6.40201214953873E-2"/>
    <n v="7.1196721311475406E-2"/>
    <n v="4.3325827428964001E-2"/>
    <n v="38"/>
    <n v="312"/>
    <s v="gulf"/>
    <n v="14"/>
    <b v="1"/>
    <s v="sad152002"/>
    <n v="5.469999999999998"/>
  </r>
  <r>
    <x v="36"/>
    <x v="10"/>
    <s v="Saadiyat"/>
    <s v="t1"/>
    <s v="sad15_t1"/>
    <n v="0.85699999999999998"/>
    <n v="0.61499999999999999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4"/>
    <b v="1"/>
    <s v="sad152003"/>
    <n v="6.2699999999999978"/>
  </r>
  <r>
    <x v="36"/>
    <x v="10"/>
    <s v="Saadiyat"/>
    <s v="t2"/>
    <s v="sad15_t2"/>
    <n v="1.5780000000000001"/>
    <n v="0.98499999999999999"/>
    <n v="33.611475409836103"/>
    <n v="20.8186885245902"/>
    <n v="0.52662597546340895"/>
    <n v="8.0509692554636303E-2"/>
    <n v="0.41824967051421102"/>
    <n v="-9.7730337078651697E-2"/>
    <n v="8.7852459016393394E-2"/>
    <n v="6.3591623155248397E-2"/>
    <n v="8.1295081967213106E-2"/>
    <n v="3.9152839089179298E-2"/>
    <n v="29"/>
    <n v="330"/>
    <s v="gulf"/>
    <n v="14"/>
    <b v="1"/>
    <s v="sad152003"/>
    <n v="6.2699999999999978"/>
  </r>
  <r>
    <x v="36"/>
    <x v="11"/>
    <s v="Saadiyat"/>
    <s v="t2"/>
    <s v="sad15_t2"/>
    <n v="1.0469999999999999"/>
    <n v="0.82499999999999996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4"/>
    <b v="1"/>
    <s v="sad152004"/>
    <n v="7.0449999999999982"/>
  </r>
  <r>
    <x v="36"/>
    <x v="11"/>
    <s v="Saadiyat"/>
    <s v="t1"/>
    <s v="sad15_t1"/>
    <n v="0.877"/>
    <n v="0.72499999999999998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14"/>
    <b v="1"/>
    <s v="sad152004"/>
    <n v="7.0449999999999982"/>
  </r>
  <r>
    <x v="36"/>
    <x v="0"/>
    <s v="Saadiyat"/>
    <s v="t2"/>
    <s v="sad15_t2"/>
    <n v="1.23"/>
    <n v="1.075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4"/>
    <b v="1"/>
    <s v="sad152005"/>
    <n v="8.1174999999999979"/>
  </r>
  <r>
    <x v="36"/>
    <x v="0"/>
    <s v="Saadiyat"/>
    <s v="t1"/>
    <s v="sad15_t1"/>
    <n v="1.159"/>
    <n v="1.07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14"/>
    <b v="1"/>
    <s v="sad152005"/>
    <n v="8.1174999999999979"/>
  </r>
  <r>
    <x v="36"/>
    <x v="1"/>
    <s v="Saadiyat"/>
    <s v="t1"/>
    <s v="sad15_t1"/>
    <n v="1.044"/>
    <n v="0.92500000000000004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4"/>
    <b v="1"/>
    <s v="sad152006"/>
    <n v="8.9399999999999977"/>
  </r>
  <r>
    <x v="36"/>
    <x v="1"/>
    <s v="Saadiyat"/>
    <s v="t2"/>
    <s v="sad15_t2"/>
    <n v="0.81299999999999994"/>
    <n v="0.72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14"/>
    <b v="1"/>
    <s v="sad152006"/>
    <n v="8.9399999999999977"/>
  </r>
  <r>
    <x v="36"/>
    <x v="2"/>
    <s v="Saadiyat"/>
    <s v="t2"/>
    <s v="sad15_t2"/>
    <n v="1.2390000000000001"/>
    <n v="1.0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4"/>
    <b v="1"/>
    <s v="sad152007"/>
    <n v="9.8674999999999979"/>
  </r>
  <r>
    <x v="36"/>
    <x v="2"/>
    <s v="Saadiyat"/>
    <s v="t1"/>
    <s v="sad15_t1"/>
    <n v="0.92"/>
    <n v="0.8050000000000000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14"/>
    <b v="1"/>
    <s v="sad152007"/>
    <n v="9.8674999999999979"/>
  </r>
  <r>
    <x v="36"/>
    <x v="3"/>
    <s v="Saadiyat"/>
    <s v="t1"/>
    <s v="sad15_t1"/>
    <n v="1.0289999999999999"/>
    <n v="0.85499999999999998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4"/>
    <b v="1"/>
    <s v="sad152008"/>
    <n v="10.769999999999998"/>
  </r>
  <r>
    <x v="36"/>
    <x v="3"/>
    <s v="Saadiyat"/>
    <s v="t2"/>
    <s v="sad15_t2"/>
    <n v="1.204"/>
    <n v="0.95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14"/>
    <b v="1"/>
    <s v="sad152008"/>
    <n v="10.769999999999998"/>
  </r>
  <r>
    <x v="36"/>
    <x v="4"/>
    <s v="Saadiyat"/>
    <s v="t2"/>
    <s v="sad15_t2"/>
    <n v="1.03"/>
    <n v="0.77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4"/>
    <b v="1"/>
    <s v="sad152009"/>
    <n v="11.597499999999998"/>
  </r>
  <r>
    <x v="36"/>
    <x v="4"/>
    <s v="Saadiyat"/>
    <s v="t1"/>
    <s v="sad15_t1"/>
    <n v="1.1259999999999999"/>
    <n v="0.88500000000000001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14"/>
    <b v="1"/>
    <s v="sad152009"/>
    <n v="11.597499999999998"/>
  </r>
  <r>
    <x v="36"/>
    <x v="5"/>
    <s v="Saadiyat"/>
    <s v="t2"/>
    <s v="sad15_t2"/>
    <n v="1.23"/>
    <n v="0.94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4"/>
    <b v="1"/>
    <s v="sad152010"/>
    <n v="12.382499999999999"/>
  </r>
  <r>
    <x v="36"/>
    <x v="5"/>
    <s v="Saadiyat"/>
    <s v="t1"/>
    <s v="sad15_t1"/>
    <n v="0.79500000000000004"/>
    <n v="0.63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14"/>
    <b v="1"/>
    <s v="sad152010"/>
    <n v="12.382499999999999"/>
  </r>
  <r>
    <x v="36"/>
    <x v="6"/>
    <s v="Saadiyat"/>
    <s v="t2"/>
    <s v="sad15_t2"/>
    <n v="0.58299999999999996"/>
    <n v="0.42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4"/>
    <b v="1"/>
    <s v="sad152011"/>
    <n v="13.004999999999999"/>
  </r>
  <r>
    <x v="36"/>
    <x v="6"/>
    <s v="Saadiyat"/>
    <s v="t1"/>
    <s v="sad15_t1"/>
    <n v="1.151"/>
    <n v="0.82499999999999996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14"/>
    <b v="1"/>
    <s v="sad152011"/>
    <n v="13.004999999999999"/>
  </r>
  <r>
    <x v="36"/>
    <x v="7"/>
    <s v="Saadiyat"/>
    <s v="t2"/>
    <s v="sad15_t2"/>
    <n v="0.90400000000000003"/>
    <n v="0.65500000000000003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4"/>
    <b v="1"/>
    <s v="sad152012"/>
    <n v="13.547499999999999"/>
  </r>
  <r>
    <x v="36"/>
    <x v="7"/>
    <s v="Saadiyat"/>
    <s v="t1"/>
    <s v="sad15_t1"/>
    <n v="0.627"/>
    <n v="0.43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14"/>
    <b v="1"/>
    <s v="sad152012"/>
    <n v="13.547499999999999"/>
  </r>
  <r>
    <x v="36"/>
    <x v="8"/>
    <s v="Saadiyat"/>
    <s v="t1"/>
    <s v="sad15_t1"/>
    <n v="0.57099999999999995"/>
    <n v="0.34499999999999997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4"/>
    <b v="1"/>
    <s v="sad152013"/>
    <n v="14"/>
  </r>
  <r>
    <x v="36"/>
    <x v="8"/>
    <s v="Saadiyat"/>
    <s v="t2"/>
    <s v="sad15_t2"/>
    <n v="0.81699999999999995"/>
    <n v="0.56000000000000005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14"/>
    <b v="1"/>
    <s v="sad152013"/>
    <n v="14"/>
  </r>
  <r>
    <x v="37"/>
    <x v="11"/>
    <s v="Saadiyat"/>
    <s v="t2"/>
    <s v="sad22_t2"/>
    <n v="1.1950000000000001"/>
    <n v="0.72650000000000003"/>
    <n v="33.746721311475397"/>
    <n v="21.6322950819672"/>
    <n v="0.64239238642910201"/>
    <n v="7.7849775692472395E-2"/>
    <n v="0.42002667102409702"/>
    <n v="-4.1345022019179299E-2"/>
    <n v="9.5426229508196694E-2"/>
    <n v="5.3049178132620001E-2"/>
    <n v="8.2180327868852501E-2"/>
    <n v="3.2939595320688297E-2"/>
    <n v="39"/>
    <n v="296"/>
    <s v="gulf"/>
    <n v="7"/>
    <b v="1"/>
    <s v="sad222004"/>
    <n v="1.1953999999999994"/>
  </r>
  <r>
    <x v="37"/>
    <x v="0"/>
    <s v="Saadiyat"/>
    <s v="t1"/>
    <s v="sad22_t1"/>
    <n v="1.607"/>
    <n v="1.0242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7"/>
    <b v="1"/>
    <s v="sad222005"/>
    <n v="2.2069999999999994"/>
  </r>
  <r>
    <x v="37"/>
    <x v="0"/>
    <s v="Saadiyat"/>
    <s v="t2"/>
    <s v="sad22_t2"/>
    <n v="1.512"/>
    <n v="0.999"/>
    <n v="33.608524590163903"/>
    <n v="20.034098360655701"/>
    <n v="0.49600529919608799"/>
    <n v="9.1836276083467103E-2"/>
    <n v="0.413895462105967"/>
    <n v="-4.8402683458863199E-2"/>
    <n v="8.4426229508196698E-2"/>
    <n v="4.8044930019164801E-2"/>
    <n v="8.3754098360655699E-2"/>
    <n v="3.4066922245146097E-2"/>
    <n v="40"/>
    <n v="306"/>
    <s v="gulf"/>
    <n v="7"/>
    <b v="1"/>
    <s v="sad222005"/>
    <n v="2.2069999999999994"/>
  </r>
  <r>
    <x v="37"/>
    <x v="1"/>
    <s v="Saadiyat"/>
    <s v="t1"/>
    <s v="sad22_t1"/>
    <n v="0.65200000000000002"/>
    <n v="0.39350000000000002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7"/>
    <b v="1"/>
    <s v="sad222006"/>
    <n v="2.6862499999999994"/>
  </r>
  <r>
    <x v="37"/>
    <x v="1"/>
    <s v="Saadiyat"/>
    <s v="t2"/>
    <s v="sad22_t2"/>
    <n v="0.97199999999999998"/>
    <n v="0.56499999999999995"/>
    <n v="33.176393442623002"/>
    <n v="20.989016393442601"/>
    <n v="0.875980793012482"/>
    <n v="6.8958307609992997E-2"/>
    <n v="0.50416939212558698"/>
    <n v="-5.3017985759558801E-2"/>
    <n v="8.6163934426229494E-2"/>
    <n v="4.6571515016466503E-2"/>
    <n v="9.9852459016393405E-2"/>
    <n v="3.4067988917053198E-2"/>
    <n v="21"/>
    <n v="320"/>
    <s v="gulf"/>
    <n v="7"/>
    <b v="1"/>
    <s v="sad222006"/>
    <n v="2.6862499999999994"/>
  </r>
  <r>
    <x v="37"/>
    <x v="2"/>
    <s v="Saadiyat"/>
    <s v="t2"/>
    <s v="sad22_t2"/>
    <n v="1.0680000000000001"/>
    <n v="0.58020000000000005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7"/>
    <b v="1"/>
    <s v="sad222007"/>
    <n v="3.4001499999999996"/>
  </r>
  <r>
    <x v="37"/>
    <x v="2"/>
    <s v="Saadiyat"/>
    <s v="t1"/>
    <s v="sad22_t1"/>
    <n v="1.325"/>
    <n v="0.84760000000000002"/>
    <n v="33.7693442622951"/>
    <n v="19.8898360655738"/>
    <n v="0.81947644221433402"/>
    <n v="5.31384121496482E-2"/>
    <n v="0.57569340466507302"/>
    <n v="-7.7376054656953394E-2"/>
    <n v="0.10703278688524601"/>
    <n v="5.7834236461665398E-2"/>
    <n v="0.110573770491803"/>
    <n v="3.0820695977645401E-2"/>
    <n v="7"/>
    <n v="313"/>
    <s v="gulf"/>
    <n v="7"/>
    <b v="1"/>
    <s v="sad222007"/>
    <n v="3.4001499999999996"/>
  </r>
  <r>
    <x v="37"/>
    <x v="3"/>
    <s v="Saadiyat"/>
    <s v="t2"/>
    <s v="sad22_t2"/>
    <n v="1.39"/>
    <n v="0.90310000000000001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7"/>
    <b v="1"/>
    <s v="sad222008"/>
    <n v="4.2452499999999995"/>
  </r>
  <r>
    <x v="37"/>
    <x v="3"/>
    <s v="Saadiyat"/>
    <s v="t1"/>
    <s v="sad22_t1"/>
    <n v="1.1160000000000001"/>
    <n v="0.78710000000000002"/>
    <n v="33.316229508196699"/>
    <n v="19.8290163934426"/>
    <n v="0.86532595962067504"/>
    <n v="0.113018808906449"/>
    <n v="0.52787992300783104"/>
    <n v="-3.7761863604560297E-2"/>
    <n v="0.108770491803279"/>
    <n v="8.6845915935949994E-2"/>
    <n v="8.6131147540983596E-2"/>
    <n v="3.6956494877912902E-2"/>
    <n v="36"/>
    <n v="301"/>
    <s v="gulf"/>
    <n v="7"/>
    <b v="1"/>
    <s v="sad222008"/>
    <n v="4.2452499999999995"/>
  </r>
  <r>
    <x v="37"/>
    <x v="4"/>
    <s v="Saadiyat"/>
    <s v="t1"/>
    <s v="sad22_t1"/>
    <n v="0.97599999999999998"/>
    <n v="0.58520000000000005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7"/>
    <b v="1"/>
    <s v="sad222009"/>
    <n v="4.7497499999999997"/>
  </r>
  <r>
    <x v="37"/>
    <x v="4"/>
    <s v="Saadiyat"/>
    <s v="t2"/>
    <s v="sad22_t2"/>
    <n v="0.63700000000000001"/>
    <n v="0.42380000000000001"/>
    <n v="33.395081967213102"/>
    <n v="20.4986885245902"/>
    <n v="0.78519525259610001"/>
    <n v="7.7196690949499894E-2"/>
    <n v="0.43800541454347203"/>
    <n v="-9.9991110013582005E-2"/>
    <n v="9.1770491803278703E-2"/>
    <n v="6.9027142835897795E-2"/>
    <n v="7.8262295081967206E-2"/>
    <n v="3.83135753310078E-2"/>
    <n v="42"/>
    <n v="341"/>
    <s v="gulf"/>
    <n v="7"/>
    <b v="1"/>
    <s v="sad222009"/>
    <n v="4.7497499999999997"/>
  </r>
  <r>
    <x v="37"/>
    <x v="5"/>
    <s v="Saadiyat"/>
    <s v="t2"/>
    <s v="sad22_t2"/>
    <n v="0.68600000000000005"/>
    <n v="0.4894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7"/>
    <b v="1"/>
    <s v="sad222010"/>
    <n v="5.2012999999999998"/>
  </r>
  <r>
    <x v="37"/>
    <x v="5"/>
    <s v="Saadiyat"/>
    <s v="t1"/>
    <s v="sad22_t1"/>
    <n v="0.67"/>
    <n v="0.41370000000000001"/>
    <n v="33.995081967213103"/>
    <n v="21.716557377049199"/>
    <n v="0.49005742944373898"/>
    <n v="8.5872329917273796E-2"/>
    <n v="0.33309469599910002"/>
    <n v="-3.0833518541383699E-2"/>
    <n v="7.0475409836065595E-2"/>
    <n v="5.5674532345701501E-2"/>
    <n v="9.2377049180327894E-2"/>
    <n v="3.5585186025660701E-2"/>
    <n v="41"/>
    <n v="296"/>
    <s v="gulf"/>
    <n v="7"/>
    <b v="1"/>
    <s v="sad222010"/>
    <n v="5.2012999999999998"/>
  </r>
  <r>
    <x v="37"/>
    <x v="6"/>
    <s v="Saadiyat"/>
    <s v="t1"/>
    <s v="sad22_t1"/>
    <n v="0.94299999999999995"/>
    <n v="0.51459999999999995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7"/>
    <b v="1"/>
    <s v="sad222011"/>
    <n v="5.7386499999999998"/>
  </r>
  <r>
    <x v="37"/>
    <x v="6"/>
    <s v="Saadiyat"/>
    <s v="t2"/>
    <s v="sad22_t2"/>
    <n v="0.97699999999999998"/>
    <n v="0.56010000000000004"/>
    <n v="33.9308196721312"/>
    <n v="20.971967213114802"/>
    <n v="0.61861355646351401"/>
    <n v="0.100103387249455"/>
    <n v="0.443141418668906"/>
    <n v="-0.107925669835782"/>
    <n v="0.10980327868852501"/>
    <n v="7.3559005719248102E-2"/>
    <n v="9.4213114754098395E-2"/>
    <n v="4.24508008381854E-2"/>
    <n v="47"/>
    <n v="337"/>
    <s v="gulf"/>
    <n v="7"/>
    <b v="1"/>
    <s v="sad222011"/>
    <n v="5.7386499999999998"/>
  </r>
  <r>
    <x v="37"/>
    <x v="7"/>
    <s v="Saadiyat"/>
    <s v="t2"/>
    <s v="sad22_t2"/>
    <n v="0.73199999999999998"/>
    <n v="0.39860000000000001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7"/>
    <b v="1"/>
    <s v="sad222012"/>
    <n v="6.2482499999999996"/>
  </r>
  <r>
    <x v="37"/>
    <x v="7"/>
    <s v="Saadiyat"/>
    <s v="t1"/>
    <s v="sad22_t1"/>
    <n v="1.1379999999999999"/>
    <n v="0.62060000000000004"/>
    <n v="33.764262295081998"/>
    <n v="19.945081967213099"/>
    <n v="0.49442769255918401"/>
    <n v="6.6933037000452805E-2"/>
    <n v="0.3242142245306"/>
    <n v="-3.50785693707042E-2"/>
    <n v="0.13600000000000001"/>
    <n v="8.3593859423604394E-2"/>
    <n v="4.2409836065573803E-2"/>
    <n v="4.8110074152641603E-2"/>
    <n v="23"/>
    <n v="299"/>
    <s v="gulf"/>
    <n v="7"/>
    <b v="1"/>
    <s v="sad222012"/>
    <n v="6.2482499999999996"/>
  </r>
  <r>
    <x v="37"/>
    <x v="8"/>
    <s v="Saadiyat"/>
    <s v="t1"/>
    <s v="sad22_t1"/>
    <n v="1.0629999999999999"/>
    <n v="0.72650000000000003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7"/>
    <b v="1"/>
    <s v="sad222013"/>
    <n v="7"/>
  </r>
  <r>
    <x v="37"/>
    <x v="8"/>
    <s v="Saadiyat"/>
    <s v="t2"/>
    <s v="sad22_t2"/>
    <n v="1.2110000000000001"/>
    <n v="0.77700000000000002"/>
    <n v="33.555737704918002"/>
    <n v="21.235245901639299"/>
    <n v="0.78078722359205499"/>
    <n v="6.7946989340247801E-2"/>
    <n v="0.38395511463534998"/>
    <n v="-4.0786022965798203E-2"/>
    <n v="3.8249999999999999E-2"/>
    <n v="2.6544131349338002E-2"/>
    <n v="2.57627118644068E-2"/>
    <n v="1.6878203637716801E-2"/>
    <n v="20"/>
    <n v="299"/>
    <s v="gulf"/>
    <n v="7"/>
    <b v="1"/>
    <s v="sad222013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F5CC4-D162-3B4F-9D12-821A6B07A73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5:C474" firstHeaderRow="0" firstDataRow="1" firstDataCol="1"/>
  <pivotFields count="24"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dataField="1" showAll="0">
      <items count="15">
        <item x="12"/>
        <item x="13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year" fld="1" subtotal="max" baseField="0" baseItem="0"/>
    <dataField name="Min of year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33" firstHeaderRow="0" firstDataRow="1" firstDataCol="1"/>
  <pivotFields count="22">
    <pivotField axis="axisRow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>
      <items count="15">
        <item x="12"/>
        <item x="13"/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>
      <items count="305">
        <item x="233"/>
        <item x="240"/>
        <item x="278"/>
        <item x="214"/>
        <item x="133"/>
        <item x="70"/>
        <item x="88"/>
        <item x="169"/>
        <item x="275"/>
        <item x="129"/>
        <item x="277"/>
        <item x="148"/>
        <item x="213"/>
        <item x="111"/>
        <item x="198"/>
        <item x="241"/>
        <item x="134"/>
        <item x="132"/>
        <item x="68"/>
        <item x="135"/>
        <item x="276"/>
        <item x="152"/>
        <item x="154"/>
        <item x="217"/>
        <item x="104"/>
        <item x="237"/>
        <item x="215"/>
        <item x="170"/>
        <item x="216"/>
        <item x="107"/>
        <item x="279"/>
        <item x="130"/>
        <item x="210"/>
        <item x="100"/>
        <item x="301"/>
        <item x="160"/>
        <item x="161"/>
        <item x="44"/>
        <item x="272"/>
        <item x="174"/>
        <item x="69"/>
        <item x="91"/>
        <item x="284"/>
        <item x="168"/>
        <item x="127"/>
        <item x="8"/>
        <item x="2"/>
        <item x="49"/>
        <item x="99"/>
        <item x="126"/>
        <item x="177"/>
        <item x="165"/>
        <item x="208"/>
        <item x="35"/>
        <item x="209"/>
        <item x="31"/>
        <item x="66"/>
        <item x="166"/>
        <item x="155"/>
        <item x="235"/>
        <item x="298"/>
        <item x="90"/>
        <item x="131"/>
        <item x="193"/>
        <item x="300"/>
        <item x="242"/>
        <item x="110"/>
        <item x="151"/>
        <item x="230"/>
        <item x="101"/>
        <item x="36"/>
        <item x="54"/>
        <item x="226"/>
        <item x="234"/>
        <item x="52"/>
        <item x="41"/>
        <item x="211"/>
        <item x="48"/>
        <item x="47"/>
        <item x="80"/>
        <item x="92"/>
        <item x="10"/>
        <item x="95"/>
        <item x="37"/>
        <item x="50"/>
        <item x="67"/>
        <item x="228"/>
        <item x="81"/>
        <item x="118"/>
        <item x="55"/>
        <item x="108"/>
        <item x="236"/>
        <item x="158"/>
        <item x="171"/>
        <item x="280"/>
        <item x="150"/>
        <item x="71"/>
        <item x="218"/>
        <item x="153"/>
        <item x="260"/>
        <item x="73"/>
        <item x="157"/>
        <item x="201"/>
        <item x="252"/>
        <item x="206"/>
        <item x="156"/>
        <item x="5"/>
        <item x="238"/>
        <item x="271"/>
        <item x="30"/>
        <item x="12"/>
        <item x="89"/>
        <item x="65"/>
        <item x="116"/>
        <item x="1"/>
        <item x="183"/>
        <item x="212"/>
        <item x="57"/>
        <item x="190"/>
        <item x="86"/>
        <item x="229"/>
        <item x="46"/>
        <item x="267"/>
        <item x="85"/>
        <item x="246"/>
        <item x="45"/>
        <item x="200"/>
        <item x="125"/>
        <item x="265"/>
        <item x="245"/>
        <item x="56"/>
        <item x="185"/>
        <item x="263"/>
        <item x="13"/>
        <item x="186"/>
        <item x="221"/>
        <item x="262"/>
        <item x="84"/>
        <item x="11"/>
        <item x="203"/>
        <item x="112"/>
        <item x="0"/>
        <item x="227"/>
        <item x="253"/>
        <item x="96"/>
        <item x="297"/>
        <item x="4"/>
        <item x="7"/>
        <item x="87"/>
        <item x="102"/>
        <item x="187"/>
        <item x="82"/>
        <item x="192"/>
        <item x="51"/>
        <item x="269"/>
        <item x="115"/>
        <item x="128"/>
        <item x="224"/>
        <item x="299"/>
        <item x="181"/>
        <item x="9"/>
        <item x="254"/>
        <item x="62"/>
        <item x="15"/>
        <item x="195"/>
        <item x="34"/>
        <item x="105"/>
        <item x="143"/>
        <item x="184"/>
        <item x="6"/>
        <item x="72"/>
        <item x="255"/>
        <item x="188"/>
        <item x="247"/>
        <item x="173"/>
        <item x="162"/>
        <item x="264"/>
        <item x="33"/>
        <item x="40"/>
        <item x="270"/>
        <item x="103"/>
        <item x="136"/>
        <item x="43"/>
        <item x="83"/>
        <item x="199"/>
        <item x="38"/>
        <item x="287"/>
        <item x="39"/>
        <item x="163"/>
        <item x="220"/>
        <item x="273"/>
        <item x="202"/>
        <item x="59"/>
        <item x="76"/>
        <item x="27"/>
        <item x="231"/>
        <item x="61"/>
        <item x="97"/>
        <item x="14"/>
        <item x="75"/>
        <item x="294"/>
        <item x="164"/>
        <item x="25"/>
        <item x="113"/>
        <item x="191"/>
        <item x="232"/>
        <item x="93"/>
        <item x="28"/>
        <item x="145"/>
        <item x="281"/>
        <item x="26"/>
        <item x="94"/>
        <item x="16"/>
        <item x="140"/>
        <item x="176"/>
        <item x="292"/>
        <item x="144"/>
        <item x="258"/>
        <item x="179"/>
        <item x="286"/>
        <item x="121"/>
        <item x="204"/>
        <item x="42"/>
        <item x="175"/>
        <item x="3"/>
        <item x="303"/>
        <item x="259"/>
        <item x="114"/>
        <item x="106"/>
        <item x="257"/>
        <item x="249"/>
        <item x="172"/>
        <item x="248"/>
        <item x="109"/>
        <item x="53"/>
        <item x="207"/>
        <item x="79"/>
        <item x="58"/>
        <item x="29"/>
        <item x="295"/>
        <item x="167"/>
        <item x="222"/>
        <item x="256"/>
        <item x="159"/>
        <item x="243"/>
        <item x="250"/>
        <item x="244"/>
        <item x="124"/>
        <item x="290"/>
        <item x="266"/>
        <item x="123"/>
        <item x="32"/>
        <item x="117"/>
        <item x="182"/>
        <item x="296"/>
        <item x="196"/>
        <item x="225"/>
        <item x="293"/>
        <item x="205"/>
        <item x="147"/>
        <item x="239"/>
        <item x="189"/>
        <item x="78"/>
        <item x="251"/>
        <item x="139"/>
        <item x="285"/>
        <item x="261"/>
        <item x="138"/>
        <item x="180"/>
        <item x="268"/>
        <item x="23"/>
        <item x="19"/>
        <item x="98"/>
        <item x="223"/>
        <item x="283"/>
        <item x="302"/>
        <item x="194"/>
        <item x="17"/>
        <item x="18"/>
        <item x="291"/>
        <item x="197"/>
        <item x="122"/>
        <item x="289"/>
        <item x="141"/>
        <item x="288"/>
        <item x="119"/>
        <item x="64"/>
        <item x="178"/>
        <item x="282"/>
        <item x="22"/>
        <item x="146"/>
        <item x="137"/>
        <item x="142"/>
        <item x="20"/>
        <item x="21"/>
        <item x="149"/>
        <item x="120"/>
        <item x="274"/>
        <item x="77"/>
        <item x="63"/>
        <item x="219"/>
        <item x="74"/>
        <item x="24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">
        <item x="12"/>
        <item x="5"/>
        <item x="1"/>
        <item x="0"/>
        <item x="11"/>
        <item x="2"/>
        <item x="3"/>
        <item x="8"/>
        <item x="6"/>
        <item x="13"/>
        <item x="7"/>
        <item x="4"/>
        <item x="10"/>
        <item x="9"/>
        <item t="default"/>
      </items>
    </pivotField>
    <pivotField showAll="0"/>
  </pivotFields>
  <rowFields count="2">
    <field x="0"/>
    <field x="1"/>
  </rowFields>
  <rowItems count="430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 v="10"/>
    </i>
    <i r="1">
      <x v="11"/>
    </i>
    <i r="1">
      <x v="12"/>
    </i>
    <i r="1">
      <x v="13"/>
    </i>
    <i>
      <x v="2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"/>
    </i>
    <i r="1">
      <x v="10"/>
    </i>
    <i r="1">
      <x v="11"/>
    </i>
    <i r="1">
      <x v="12"/>
    </i>
    <i r="1">
      <x v="13"/>
    </i>
    <i>
      <x v="6"/>
    </i>
    <i r="1">
      <x v="8"/>
    </i>
    <i r="1">
      <x v="9"/>
    </i>
    <i r="1">
      <x v="10"/>
    </i>
    <i r="1">
      <x v="11"/>
    </i>
    <i r="1">
      <x v="12"/>
    </i>
    <i r="1">
      <x v="13"/>
    </i>
    <i>
      <x v="7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9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0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4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5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7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8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9"/>
    </i>
    <i r="1">
      <x v="8"/>
    </i>
    <i r="1">
      <x v="9"/>
    </i>
    <i r="1">
      <x v="10"/>
    </i>
    <i r="1">
      <x v="11"/>
    </i>
    <i r="1">
      <x v="12"/>
    </i>
    <i r="1">
      <x v="13"/>
    </i>
    <i>
      <x v="20"/>
    </i>
    <i r="1">
      <x v="8"/>
    </i>
    <i r="1">
      <x v="9"/>
    </i>
    <i r="1">
      <x v="10"/>
    </i>
    <i r="1">
      <x v="11"/>
    </i>
    <i r="1">
      <x v="12"/>
    </i>
    <i r="1">
      <x v="13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6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7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8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9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0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5"/>
    </i>
    <i r="1">
      <x v="10"/>
    </i>
    <i r="1">
      <x v="11"/>
    </i>
    <i r="1">
      <x v="12"/>
    </i>
    <i r="1">
      <x v="13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7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tension" fld="6" subtotal="average" baseField="0" baseItem="0"/>
    <dataField name="Max of height" fld="20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59"/>
  <sheetViews>
    <sheetView tabSelected="1" workbookViewId="0">
      <selection activeCell="D46" sqref="D4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139</v>
      </c>
      <c r="L1" t="s">
        <v>136</v>
      </c>
      <c r="M1" t="s">
        <v>144</v>
      </c>
    </row>
    <row r="2" spans="1:13" x14ac:dyDescent="0.2">
      <c r="A2" t="s">
        <v>10</v>
      </c>
      <c r="B2">
        <v>2005</v>
      </c>
      <c r="C2" t="s">
        <v>11</v>
      </c>
      <c r="D2" t="s">
        <v>15</v>
      </c>
      <c r="E2" t="s">
        <v>16</v>
      </c>
      <c r="F2">
        <v>38</v>
      </c>
      <c r="G2">
        <v>303</v>
      </c>
      <c r="H2" t="s">
        <v>14</v>
      </c>
      <c r="I2">
        <v>7</v>
      </c>
      <c r="J2" t="b">
        <v>1</v>
      </c>
      <c r="K2" t="str">
        <f>CONCATENATE(A2, B2)</f>
        <v>ala012005</v>
      </c>
      <c r="L2">
        <f>VLOOKUP(K2,BheightCalcs!I$1:M$429, 5, FALSE)</f>
        <v>2.1262500000000002</v>
      </c>
      <c r="M2">
        <f>VLOOKUP(A2, BheightCalcs!P$1:S$39, 4, FALSE)</f>
        <v>8</v>
      </c>
    </row>
    <row r="3" spans="1:13" x14ac:dyDescent="0.2">
      <c r="A3" t="s">
        <v>10</v>
      </c>
      <c r="B3">
        <v>2006</v>
      </c>
      <c r="C3" t="s">
        <v>11</v>
      </c>
      <c r="D3" t="s">
        <v>15</v>
      </c>
      <c r="E3" t="s">
        <v>16</v>
      </c>
      <c r="F3">
        <v>25</v>
      </c>
      <c r="G3">
        <v>294</v>
      </c>
      <c r="H3" t="s">
        <v>14</v>
      </c>
      <c r="I3">
        <v>7</v>
      </c>
      <c r="J3" t="b">
        <v>1</v>
      </c>
      <c r="K3" t="str">
        <f t="shared" ref="K3:K66" si="0">CONCATENATE(A3, B3)</f>
        <v>ala012006</v>
      </c>
      <c r="L3">
        <f>VLOOKUP(K3,BheightCalcs!I$1:M$429, 5, FALSE)</f>
        <v>2.5955000000000004</v>
      </c>
      <c r="M3">
        <f>VLOOKUP(A3, BheightCalcs!P$1:S$39, 4, FALSE)</f>
        <v>8</v>
      </c>
    </row>
    <row r="4" spans="1:13" x14ac:dyDescent="0.2">
      <c r="A4" t="s">
        <v>10</v>
      </c>
      <c r="B4">
        <v>2006</v>
      </c>
      <c r="C4" t="s">
        <v>11</v>
      </c>
      <c r="D4" t="s">
        <v>12</v>
      </c>
      <c r="E4" t="s">
        <v>13</v>
      </c>
      <c r="F4">
        <v>25</v>
      </c>
      <c r="G4">
        <v>294</v>
      </c>
      <c r="H4" t="s">
        <v>14</v>
      </c>
      <c r="I4">
        <v>7</v>
      </c>
      <c r="J4" t="b">
        <v>1</v>
      </c>
      <c r="K4" t="str">
        <f t="shared" si="0"/>
        <v>ala012006</v>
      </c>
      <c r="L4">
        <f>VLOOKUP(K4,BheightCalcs!I$1:M$429, 5, FALSE)</f>
        <v>2.5955000000000004</v>
      </c>
      <c r="M4">
        <f>VLOOKUP(A4, BheightCalcs!P$1:S$39, 4, FALSE)</f>
        <v>8</v>
      </c>
    </row>
    <row r="5" spans="1:13" x14ac:dyDescent="0.2">
      <c r="A5" t="s">
        <v>10</v>
      </c>
      <c r="B5">
        <v>2007</v>
      </c>
      <c r="C5" t="s">
        <v>11</v>
      </c>
      <c r="D5" t="s">
        <v>12</v>
      </c>
      <c r="E5" t="s">
        <v>13</v>
      </c>
      <c r="F5">
        <v>66</v>
      </c>
      <c r="G5">
        <v>286</v>
      </c>
      <c r="H5" t="s">
        <v>14</v>
      </c>
      <c r="I5">
        <v>7</v>
      </c>
      <c r="J5" t="b">
        <v>1</v>
      </c>
      <c r="K5" t="str">
        <f t="shared" si="0"/>
        <v>ala012007</v>
      </c>
      <c r="L5">
        <f>VLOOKUP(K5,BheightCalcs!I$1:M$429, 5, FALSE)</f>
        <v>3.3321000000000005</v>
      </c>
      <c r="M5">
        <f>VLOOKUP(A5, BheightCalcs!P$1:S$39, 4, FALSE)</f>
        <v>8</v>
      </c>
    </row>
    <row r="6" spans="1:13" x14ac:dyDescent="0.2">
      <c r="A6" t="s">
        <v>10</v>
      </c>
      <c r="B6">
        <v>2007</v>
      </c>
      <c r="C6" t="s">
        <v>11</v>
      </c>
      <c r="D6" t="s">
        <v>15</v>
      </c>
      <c r="E6" t="s">
        <v>16</v>
      </c>
      <c r="F6">
        <v>66</v>
      </c>
      <c r="G6">
        <v>286</v>
      </c>
      <c r="H6" t="s">
        <v>14</v>
      </c>
      <c r="I6">
        <v>7</v>
      </c>
      <c r="J6" t="b">
        <v>1</v>
      </c>
      <c r="K6" t="str">
        <f t="shared" si="0"/>
        <v>ala012007</v>
      </c>
      <c r="L6">
        <f>VLOOKUP(K6,BheightCalcs!I$1:M$429, 5, FALSE)</f>
        <v>3.3321000000000005</v>
      </c>
      <c r="M6">
        <f>VLOOKUP(A6, BheightCalcs!P$1:S$39, 4, FALSE)</f>
        <v>8</v>
      </c>
    </row>
    <row r="7" spans="1:13" x14ac:dyDescent="0.2">
      <c r="A7" t="s">
        <v>10</v>
      </c>
      <c r="B7">
        <v>2008</v>
      </c>
      <c r="C7" t="s">
        <v>11</v>
      </c>
      <c r="D7" t="s">
        <v>12</v>
      </c>
      <c r="E7" t="s">
        <v>13</v>
      </c>
      <c r="F7">
        <v>53</v>
      </c>
      <c r="G7">
        <v>299</v>
      </c>
      <c r="H7" t="s">
        <v>14</v>
      </c>
      <c r="I7">
        <v>7</v>
      </c>
      <c r="J7" t="b">
        <v>1</v>
      </c>
      <c r="K7" t="str">
        <f t="shared" si="0"/>
        <v>ala012008</v>
      </c>
      <c r="L7">
        <f>VLOOKUP(K7,BheightCalcs!I$1:M$429, 5, FALSE)</f>
        <v>3.9425500000000002</v>
      </c>
      <c r="M7">
        <f>VLOOKUP(A7, BheightCalcs!P$1:S$39, 4, FALSE)</f>
        <v>8</v>
      </c>
    </row>
    <row r="8" spans="1:13" x14ac:dyDescent="0.2">
      <c r="A8" t="s">
        <v>10</v>
      </c>
      <c r="B8">
        <v>2008</v>
      </c>
      <c r="C8" t="s">
        <v>11</v>
      </c>
      <c r="D8" t="s">
        <v>15</v>
      </c>
      <c r="E8" t="s">
        <v>16</v>
      </c>
      <c r="F8">
        <v>53</v>
      </c>
      <c r="G8">
        <v>299</v>
      </c>
      <c r="H8" t="s">
        <v>14</v>
      </c>
      <c r="I8">
        <v>7</v>
      </c>
      <c r="J8" t="b">
        <v>1</v>
      </c>
      <c r="K8" t="str">
        <f t="shared" si="0"/>
        <v>ala012008</v>
      </c>
      <c r="L8">
        <f>VLOOKUP(K8,BheightCalcs!I$1:M$429, 5, FALSE)</f>
        <v>3.9425500000000002</v>
      </c>
      <c r="M8">
        <f>VLOOKUP(A8, BheightCalcs!P$1:S$39, 4, FALSE)</f>
        <v>8</v>
      </c>
    </row>
    <row r="9" spans="1:13" x14ac:dyDescent="0.2">
      <c r="A9" t="s">
        <v>10</v>
      </c>
      <c r="B9">
        <v>2009</v>
      </c>
      <c r="C9" t="s">
        <v>11</v>
      </c>
      <c r="D9" t="s">
        <v>12</v>
      </c>
      <c r="E9" t="s">
        <v>13</v>
      </c>
      <c r="F9">
        <v>44</v>
      </c>
      <c r="G9">
        <v>288</v>
      </c>
      <c r="H9" t="s">
        <v>14</v>
      </c>
      <c r="I9">
        <v>7</v>
      </c>
      <c r="J9" t="b">
        <v>1</v>
      </c>
      <c r="K9" t="str">
        <f t="shared" si="0"/>
        <v>ala012009</v>
      </c>
      <c r="L9">
        <f>VLOOKUP(K9,BheightCalcs!I$1:M$429, 5, FALSE)</f>
        <v>4.4446000000000003</v>
      </c>
      <c r="M9">
        <f>VLOOKUP(A9, BheightCalcs!P$1:S$39, 4, FALSE)</f>
        <v>8</v>
      </c>
    </row>
    <row r="10" spans="1:13" x14ac:dyDescent="0.2">
      <c r="A10" t="s">
        <v>10</v>
      </c>
      <c r="B10">
        <v>2009</v>
      </c>
      <c r="C10" t="s">
        <v>11</v>
      </c>
      <c r="D10" t="s">
        <v>15</v>
      </c>
      <c r="E10" t="s">
        <v>16</v>
      </c>
      <c r="F10">
        <v>44</v>
      </c>
      <c r="G10">
        <v>288</v>
      </c>
      <c r="H10" t="s">
        <v>14</v>
      </c>
      <c r="I10">
        <v>7</v>
      </c>
      <c r="J10" t="b">
        <v>1</v>
      </c>
      <c r="K10" t="str">
        <f t="shared" si="0"/>
        <v>ala012009</v>
      </c>
      <c r="L10">
        <f>VLOOKUP(K10,BheightCalcs!I$1:M$429, 5, FALSE)</f>
        <v>4.4446000000000003</v>
      </c>
      <c r="M10">
        <f>VLOOKUP(A10, BheightCalcs!P$1:S$39, 4, FALSE)</f>
        <v>8</v>
      </c>
    </row>
    <row r="11" spans="1:13" x14ac:dyDescent="0.2">
      <c r="A11" t="s">
        <v>10</v>
      </c>
      <c r="B11">
        <v>2010</v>
      </c>
      <c r="C11" t="s">
        <v>11</v>
      </c>
      <c r="D11" t="s">
        <v>15</v>
      </c>
      <c r="E11" t="s">
        <v>16</v>
      </c>
      <c r="F11">
        <v>40</v>
      </c>
      <c r="G11">
        <v>282</v>
      </c>
      <c r="H11" t="s">
        <v>14</v>
      </c>
      <c r="I11">
        <v>7</v>
      </c>
      <c r="J11" t="b">
        <v>1</v>
      </c>
      <c r="K11" t="str">
        <f t="shared" si="0"/>
        <v>ala012010</v>
      </c>
      <c r="L11">
        <f>VLOOKUP(K11,BheightCalcs!I$1:M$429, 5, FALSE)</f>
        <v>5.0096500000000006</v>
      </c>
      <c r="M11">
        <f>VLOOKUP(A11, BheightCalcs!P$1:S$39, 4, FALSE)</f>
        <v>8</v>
      </c>
    </row>
    <row r="12" spans="1:13" x14ac:dyDescent="0.2">
      <c r="A12" t="s">
        <v>10</v>
      </c>
      <c r="B12">
        <v>2010</v>
      </c>
      <c r="C12" t="s">
        <v>11</v>
      </c>
      <c r="D12" t="s">
        <v>12</v>
      </c>
      <c r="E12" t="s">
        <v>13</v>
      </c>
      <c r="F12">
        <v>40</v>
      </c>
      <c r="G12">
        <v>282</v>
      </c>
      <c r="H12" t="s">
        <v>14</v>
      </c>
      <c r="I12">
        <v>7</v>
      </c>
      <c r="J12" t="b">
        <v>1</v>
      </c>
      <c r="K12" t="str">
        <f t="shared" si="0"/>
        <v>ala012010</v>
      </c>
      <c r="L12">
        <f>VLOOKUP(K12,BheightCalcs!I$1:M$429, 5, FALSE)</f>
        <v>5.0096500000000006</v>
      </c>
      <c r="M12">
        <f>VLOOKUP(A12, BheightCalcs!P$1:S$39, 4, FALSE)</f>
        <v>8</v>
      </c>
    </row>
    <row r="13" spans="1:13" x14ac:dyDescent="0.2">
      <c r="A13" t="s">
        <v>10</v>
      </c>
      <c r="B13">
        <v>2011</v>
      </c>
      <c r="C13" t="s">
        <v>11</v>
      </c>
      <c r="D13" t="s">
        <v>15</v>
      </c>
      <c r="E13" t="s">
        <v>16</v>
      </c>
      <c r="F13">
        <v>66</v>
      </c>
      <c r="G13">
        <v>284</v>
      </c>
      <c r="H13" t="s">
        <v>14</v>
      </c>
      <c r="I13">
        <v>7</v>
      </c>
      <c r="J13" t="b">
        <v>1</v>
      </c>
      <c r="K13" t="str">
        <f t="shared" si="0"/>
        <v>ala012011</v>
      </c>
      <c r="L13">
        <f>VLOOKUP(K13,BheightCalcs!I$1:M$429, 5, FALSE)</f>
        <v>5.5898000000000003</v>
      </c>
      <c r="M13">
        <f>VLOOKUP(A13, BheightCalcs!P$1:S$39, 4, FALSE)</f>
        <v>8</v>
      </c>
    </row>
    <row r="14" spans="1:13" x14ac:dyDescent="0.2">
      <c r="A14" t="s">
        <v>10</v>
      </c>
      <c r="B14">
        <v>2011</v>
      </c>
      <c r="C14" t="s">
        <v>11</v>
      </c>
      <c r="D14" t="s">
        <v>12</v>
      </c>
      <c r="E14" t="s">
        <v>13</v>
      </c>
      <c r="F14">
        <v>66</v>
      </c>
      <c r="G14">
        <v>284</v>
      </c>
      <c r="H14" t="s">
        <v>14</v>
      </c>
      <c r="I14">
        <v>7</v>
      </c>
      <c r="J14" t="b">
        <v>1</v>
      </c>
      <c r="K14" t="str">
        <f t="shared" si="0"/>
        <v>ala012011</v>
      </c>
      <c r="L14">
        <f>VLOOKUP(K14,BheightCalcs!I$1:M$429, 5, FALSE)</f>
        <v>5.5898000000000003</v>
      </c>
      <c r="M14">
        <f>VLOOKUP(A14, BheightCalcs!P$1:S$39, 4, FALSE)</f>
        <v>8</v>
      </c>
    </row>
    <row r="15" spans="1:13" x14ac:dyDescent="0.2">
      <c r="A15" t="s">
        <v>10</v>
      </c>
      <c r="B15">
        <v>2012</v>
      </c>
      <c r="C15" t="s">
        <v>11</v>
      </c>
      <c r="D15" t="s">
        <v>12</v>
      </c>
      <c r="E15" t="s">
        <v>13</v>
      </c>
      <c r="F15">
        <v>80</v>
      </c>
      <c r="G15">
        <v>303</v>
      </c>
      <c r="H15" t="s">
        <v>14</v>
      </c>
      <c r="I15">
        <v>7</v>
      </c>
      <c r="J15" t="b">
        <v>1</v>
      </c>
      <c r="K15" t="str">
        <f t="shared" si="0"/>
        <v>ala012012</v>
      </c>
      <c r="L15">
        <f>VLOOKUP(K15,BheightCalcs!I$1:M$429, 5, FALSE)</f>
        <v>6.27095</v>
      </c>
      <c r="M15">
        <f>VLOOKUP(A15, BheightCalcs!P$1:S$39, 4, FALSE)</f>
        <v>8</v>
      </c>
    </row>
    <row r="16" spans="1:13" x14ac:dyDescent="0.2">
      <c r="A16" t="s">
        <v>10</v>
      </c>
      <c r="B16">
        <v>2012</v>
      </c>
      <c r="C16" t="s">
        <v>11</v>
      </c>
      <c r="D16" t="s">
        <v>15</v>
      </c>
      <c r="E16" t="s">
        <v>16</v>
      </c>
      <c r="F16">
        <v>80</v>
      </c>
      <c r="G16">
        <v>303</v>
      </c>
      <c r="H16" t="s">
        <v>14</v>
      </c>
      <c r="I16">
        <v>7</v>
      </c>
      <c r="J16" t="b">
        <v>1</v>
      </c>
      <c r="K16" t="str">
        <f t="shared" si="0"/>
        <v>ala012012</v>
      </c>
      <c r="L16">
        <f>VLOOKUP(K16,BheightCalcs!I$1:M$429, 5, FALSE)</f>
        <v>6.27095</v>
      </c>
      <c r="M16">
        <f>VLOOKUP(A16, BheightCalcs!P$1:S$39, 4, FALSE)</f>
        <v>8</v>
      </c>
    </row>
    <row r="17" spans="1:13" x14ac:dyDescent="0.2">
      <c r="A17" t="s">
        <v>10</v>
      </c>
      <c r="B17">
        <v>2013</v>
      </c>
      <c r="C17" t="s">
        <v>11</v>
      </c>
      <c r="D17" t="s">
        <v>12</v>
      </c>
      <c r="E17" t="s">
        <v>13</v>
      </c>
      <c r="F17">
        <v>40</v>
      </c>
      <c r="G17">
        <v>257</v>
      </c>
      <c r="H17" t="s">
        <v>14</v>
      </c>
      <c r="I17">
        <v>7</v>
      </c>
      <c r="J17" t="b">
        <v>1</v>
      </c>
      <c r="K17" t="str">
        <f t="shared" si="0"/>
        <v>ala012013</v>
      </c>
      <c r="L17">
        <f>VLOOKUP(K17,BheightCalcs!I$1:M$429, 5, FALSE)</f>
        <v>7</v>
      </c>
      <c r="M17">
        <f>VLOOKUP(A17, BheightCalcs!P$1:S$39, 4, FALSE)</f>
        <v>8</v>
      </c>
    </row>
    <row r="18" spans="1:13" x14ac:dyDescent="0.2">
      <c r="A18" t="s">
        <v>10</v>
      </c>
      <c r="B18">
        <v>2013</v>
      </c>
      <c r="C18" t="s">
        <v>11</v>
      </c>
      <c r="D18" t="s">
        <v>15</v>
      </c>
      <c r="E18" t="s">
        <v>16</v>
      </c>
      <c r="F18">
        <v>40</v>
      </c>
      <c r="G18">
        <v>257</v>
      </c>
      <c r="H18" t="s">
        <v>14</v>
      </c>
      <c r="I18">
        <v>7</v>
      </c>
      <c r="J18" t="b">
        <v>1</v>
      </c>
      <c r="K18" t="str">
        <f t="shared" si="0"/>
        <v>ala012013</v>
      </c>
      <c r="L18">
        <f>VLOOKUP(K18,BheightCalcs!I$1:M$429, 5, FALSE)</f>
        <v>7</v>
      </c>
      <c r="M18">
        <f>VLOOKUP(A18, BheightCalcs!P$1:S$39, 4, FALSE)</f>
        <v>8</v>
      </c>
    </row>
    <row r="19" spans="1:13" x14ac:dyDescent="0.2">
      <c r="A19" t="s">
        <v>17</v>
      </c>
      <c r="B19">
        <v>2010</v>
      </c>
      <c r="C19" t="s">
        <v>11</v>
      </c>
      <c r="D19" t="s">
        <v>12</v>
      </c>
      <c r="E19" t="s">
        <v>19</v>
      </c>
      <c r="F19">
        <v>40</v>
      </c>
      <c r="G19">
        <v>282</v>
      </c>
      <c r="H19" t="s">
        <v>14</v>
      </c>
      <c r="I19">
        <v>6</v>
      </c>
      <c r="J19" t="b">
        <v>1</v>
      </c>
      <c r="K19" t="str">
        <f t="shared" si="0"/>
        <v>ala022010</v>
      </c>
      <c r="L19">
        <f>VLOOKUP(K19,BheightCalcs!I$1:M$429, 5, FALSE)</f>
        <v>2.5566000000000004</v>
      </c>
      <c r="M19">
        <f>VLOOKUP(A19, BheightCalcs!P$1:S$39, 4, FALSE)</f>
        <v>3</v>
      </c>
    </row>
    <row r="20" spans="1:13" x14ac:dyDescent="0.2">
      <c r="A20" t="s">
        <v>17</v>
      </c>
      <c r="B20">
        <v>2010</v>
      </c>
      <c r="C20" t="s">
        <v>11</v>
      </c>
      <c r="D20" t="s">
        <v>15</v>
      </c>
      <c r="E20" t="s">
        <v>18</v>
      </c>
      <c r="F20">
        <v>40</v>
      </c>
      <c r="G20">
        <v>282</v>
      </c>
      <c r="H20" t="s">
        <v>14</v>
      </c>
      <c r="I20">
        <v>6</v>
      </c>
      <c r="J20" t="b">
        <v>1</v>
      </c>
      <c r="K20" t="str">
        <f t="shared" si="0"/>
        <v>ala022010</v>
      </c>
      <c r="L20">
        <f>VLOOKUP(K20,BheightCalcs!I$1:M$429, 5, FALSE)</f>
        <v>2.5566000000000004</v>
      </c>
      <c r="M20">
        <f>VLOOKUP(A20, BheightCalcs!P$1:S$39, 4, FALSE)</f>
        <v>3</v>
      </c>
    </row>
    <row r="21" spans="1:13" x14ac:dyDescent="0.2">
      <c r="A21" t="s">
        <v>17</v>
      </c>
      <c r="B21">
        <v>2011</v>
      </c>
      <c r="C21" t="s">
        <v>11</v>
      </c>
      <c r="D21" t="s">
        <v>12</v>
      </c>
      <c r="E21" t="s">
        <v>19</v>
      </c>
      <c r="F21">
        <v>66</v>
      </c>
      <c r="G21">
        <v>284</v>
      </c>
      <c r="H21" t="s">
        <v>14</v>
      </c>
      <c r="I21">
        <v>6</v>
      </c>
      <c r="J21" t="b">
        <v>1</v>
      </c>
      <c r="K21" t="str">
        <f t="shared" si="0"/>
        <v>ala022011</v>
      </c>
      <c r="L21">
        <f>VLOOKUP(K21,BheightCalcs!I$1:M$429, 5, FALSE)</f>
        <v>3.6388000000000003</v>
      </c>
      <c r="M21">
        <f>VLOOKUP(A21, BheightCalcs!P$1:S$39, 4, FALSE)</f>
        <v>3</v>
      </c>
    </row>
    <row r="22" spans="1:13" x14ac:dyDescent="0.2">
      <c r="A22" t="s">
        <v>17</v>
      </c>
      <c r="B22">
        <v>2011</v>
      </c>
      <c r="C22" t="s">
        <v>11</v>
      </c>
      <c r="D22" t="s">
        <v>15</v>
      </c>
      <c r="E22" t="s">
        <v>18</v>
      </c>
      <c r="F22">
        <v>66</v>
      </c>
      <c r="G22">
        <v>284</v>
      </c>
      <c r="H22" t="s">
        <v>14</v>
      </c>
      <c r="I22">
        <v>6</v>
      </c>
      <c r="J22" t="b">
        <v>1</v>
      </c>
      <c r="K22" t="str">
        <f t="shared" si="0"/>
        <v>ala022011</v>
      </c>
      <c r="L22">
        <f>VLOOKUP(K22,BheightCalcs!I$1:M$429, 5, FALSE)</f>
        <v>3.6388000000000003</v>
      </c>
      <c r="M22">
        <f>VLOOKUP(A22, BheightCalcs!P$1:S$39, 4, FALSE)</f>
        <v>3</v>
      </c>
    </row>
    <row r="23" spans="1:13" x14ac:dyDescent="0.2">
      <c r="A23" t="s">
        <v>17</v>
      </c>
      <c r="B23">
        <v>2012</v>
      </c>
      <c r="C23" t="s">
        <v>11</v>
      </c>
      <c r="D23" t="s">
        <v>12</v>
      </c>
      <c r="E23" t="s">
        <v>19</v>
      </c>
      <c r="F23">
        <v>80</v>
      </c>
      <c r="G23">
        <v>303</v>
      </c>
      <c r="H23" t="s">
        <v>14</v>
      </c>
      <c r="I23">
        <v>6</v>
      </c>
      <c r="J23" t="b">
        <v>1</v>
      </c>
      <c r="K23" t="str">
        <f t="shared" si="0"/>
        <v>ala022012</v>
      </c>
      <c r="L23">
        <f>VLOOKUP(K23,BheightCalcs!I$1:M$429, 5, FALSE)</f>
        <v>4.7815500000000002</v>
      </c>
      <c r="M23">
        <f>VLOOKUP(A23, BheightCalcs!P$1:S$39, 4, FALSE)</f>
        <v>3</v>
      </c>
    </row>
    <row r="24" spans="1:13" x14ac:dyDescent="0.2">
      <c r="A24" t="s">
        <v>17</v>
      </c>
      <c r="B24">
        <v>2012</v>
      </c>
      <c r="C24" t="s">
        <v>11</v>
      </c>
      <c r="D24" t="s">
        <v>15</v>
      </c>
      <c r="E24" t="s">
        <v>18</v>
      </c>
      <c r="F24">
        <v>80</v>
      </c>
      <c r="G24">
        <v>303</v>
      </c>
      <c r="H24" t="s">
        <v>14</v>
      </c>
      <c r="I24">
        <v>6</v>
      </c>
      <c r="J24" t="b">
        <v>1</v>
      </c>
      <c r="K24" t="str">
        <f t="shared" si="0"/>
        <v>ala022012</v>
      </c>
      <c r="L24">
        <f>VLOOKUP(K24,BheightCalcs!I$1:M$429, 5, FALSE)</f>
        <v>4.7815500000000002</v>
      </c>
      <c r="M24">
        <f>VLOOKUP(A24, BheightCalcs!P$1:S$39, 4, FALSE)</f>
        <v>3</v>
      </c>
    </row>
    <row r="25" spans="1:13" x14ac:dyDescent="0.2">
      <c r="A25" t="s">
        <v>17</v>
      </c>
      <c r="B25">
        <v>2013</v>
      </c>
      <c r="C25" t="s">
        <v>11</v>
      </c>
      <c r="D25" t="s">
        <v>15</v>
      </c>
      <c r="E25" t="s">
        <v>18</v>
      </c>
      <c r="F25">
        <v>40</v>
      </c>
      <c r="G25">
        <v>257</v>
      </c>
      <c r="H25" t="s">
        <v>14</v>
      </c>
      <c r="I25">
        <v>6</v>
      </c>
      <c r="J25" t="b">
        <v>1</v>
      </c>
      <c r="K25" t="str">
        <f t="shared" si="0"/>
        <v>ala022013</v>
      </c>
      <c r="L25">
        <f>VLOOKUP(K25,BheightCalcs!I$1:M$429, 5, FALSE)</f>
        <v>6</v>
      </c>
      <c r="M25">
        <f>VLOOKUP(A25, BheightCalcs!P$1:S$39, 4, FALSE)</f>
        <v>3</v>
      </c>
    </row>
    <row r="26" spans="1:13" x14ac:dyDescent="0.2">
      <c r="A26" t="s">
        <v>17</v>
      </c>
      <c r="B26">
        <v>2013</v>
      </c>
      <c r="C26" t="s">
        <v>11</v>
      </c>
      <c r="D26" t="s">
        <v>12</v>
      </c>
      <c r="E26" t="s">
        <v>19</v>
      </c>
      <c r="F26">
        <v>40</v>
      </c>
      <c r="G26">
        <v>257</v>
      </c>
      <c r="H26" t="s">
        <v>14</v>
      </c>
      <c r="I26">
        <v>6</v>
      </c>
      <c r="J26" t="b">
        <v>1</v>
      </c>
      <c r="K26" t="str">
        <f t="shared" si="0"/>
        <v>ala022013</v>
      </c>
      <c r="L26">
        <f>VLOOKUP(K26,BheightCalcs!I$1:M$429, 5, FALSE)</f>
        <v>6</v>
      </c>
      <c r="M26">
        <f>VLOOKUP(A26, BheightCalcs!P$1:S$39, 4, FALSE)</f>
        <v>3</v>
      </c>
    </row>
    <row r="27" spans="1:13" x14ac:dyDescent="0.2">
      <c r="A27" t="s">
        <v>20</v>
      </c>
      <c r="B27">
        <v>2005</v>
      </c>
      <c r="C27" t="s">
        <v>11</v>
      </c>
      <c r="D27" t="s">
        <v>12</v>
      </c>
      <c r="E27" t="s">
        <v>21</v>
      </c>
      <c r="F27">
        <v>38</v>
      </c>
      <c r="G27">
        <v>303</v>
      </c>
      <c r="H27" t="s">
        <v>14</v>
      </c>
      <c r="I27">
        <v>8</v>
      </c>
      <c r="J27" t="b">
        <v>1</v>
      </c>
      <c r="K27" t="str">
        <f t="shared" si="0"/>
        <v>ala082005</v>
      </c>
      <c r="L27">
        <f>VLOOKUP(K27,BheightCalcs!I$1:M$429, 5, FALSE)</f>
        <v>3.0531500000000005</v>
      </c>
      <c r="M27">
        <f>VLOOKUP(A27, BheightCalcs!P$1:S$39, 4, FALSE)</f>
        <v>8</v>
      </c>
    </row>
    <row r="28" spans="1:13" x14ac:dyDescent="0.2">
      <c r="A28" t="s">
        <v>20</v>
      </c>
      <c r="B28">
        <v>2005</v>
      </c>
      <c r="C28" t="s">
        <v>11</v>
      </c>
      <c r="D28" t="s">
        <v>15</v>
      </c>
      <c r="E28" t="s">
        <v>22</v>
      </c>
      <c r="F28">
        <v>38</v>
      </c>
      <c r="G28">
        <v>303</v>
      </c>
      <c r="H28" t="s">
        <v>14</v>
      </c>
      <c r="I28">
        <v>8</v>
      </c>
      <c r="J28" t="b">
        <v>1</v>
      </c>
      <c r="K28" t="str">
        <f t="shared" si="0"/>
        <v>ala082005</v>
      </c>
      <c r="L28">
        <f>VLOOKUP(K28,BheightCalcs!I$1:M$429, 5, FALSE)</f>
        <v>3.0531500000000005</v>
      </c>
      <c r="M28">
        <f>VLOOKUP(A28, BheightCalcs!P$1:S$39, 4, FALSE)</f>
        <v>8</v>
      </c>
    </row>
    <row r="29" spans="1:13" x14ac:dyDescent="0.2">
      <c r="A29" t="s">
        <v>20</v>
      </c>
      <c r="B29">
        <v>2006</v>
      </c>
      <c r="C29" t="s">
        <v>11</v>
      </c>
      <c r="D29" t="s">
        <v>12</v>
      </c>
      <c r="E29" t="s">
        <v>21</v>
      </c>
      <c r="F29">
        <v>25</v>
      </c>
      <c r="G29">
        <v>294</v>
      </c>
      <c r="H29" t="s">
        <v>14</v>
      </c>
      <c r="I29">
        <v>8</v>
      </c>
      <c r="J29" t="b">
        <v>1</v>
      </c>
      <c r="K29" t="str">
        <f t="shared" si="0"/>
        <v>ala082006</v>
      </c>
      <c r="L29">
        <f>VLOOKUP(K29,BheightCalcs!I$1:M$429, 5, FALSE)</f>
        <v>3.6157000000000004</v>
      </c>
      <c r="M29">
        <f>VLOOKUP(A29, BheightCalcs!P$1:S$39, 4, FALSE)</f>
        <v>8</v>
      </c>
    </row>
    <row r="30" spans="1:13" x14ac:dyDescent="0.2">
      <c r="A30" t="s">
        <v>20</v>
      </c>
      <c r="B30">
        <v>2006</v>
      </c>
      <c r="C30" t="s">
        <v>11</v>
      </c>
      <c r="D30" t="s">
        <v>15</v>
      </c>
      <c r="E30" t="s">
        <v>22</v>
      </c>
      <c r="F30">
        <v>25</v>
      </c>
      <c r="G30">
        <v>294</v>
      </c>
      <c r="H30" t="s">
        <v>14</v>
      </c>
      <c r="I30">
        <v>8</v>
      </c>
      <c r="J30" t="b">
        <v>1</v>
      </c>
      <c r="K30" t="str">
        <f t="shared" si="0"/>
        <v>ala082006</v>
      </c>
      <c r="L30">
        <f>VLOOKUP(K30,BheightCalcs!I$1:M$429, 5, FALSE)</f>
        <v>3.6157000000000004</v>
      </c>
      <c r="M30">
        <f>VLOOKUP(A30, BheightCalcs!P$1:S$39, 4, FALSE)</f>
        <v>8</v>
      </c>
    </row>
    <row r="31" spans="1:13" x14ac:dyDescent="0.2">
      <c r="A31" t="s">
        <v>20</v>
      </c>
      <c r="B31">
        <v>2007</v>
      </c>
      <c r="C31" t="s">
        <v>11</v>
      </c>
      <c r="D31" t="s">
        <v>12</v>
      </c>
      <c r="E31" t="s">
        <v>21</v>
      </c>
      <c r="F31">
        <v>66</v>
      </c>
      <c r="G31">
        <v>286</v>
      </c>
      <c r="H31" t="s">
        <v>14</v>
      </c>
      <c r="I31">
        <v>8</v>
      </c>
      <c r="J31" t="b">
        <v>1</v>
      </c>
      <c r="K31" t="str">
        <f t="shared" si="0"/>
        <v>ala082007</v>
      </c>
      <c r="L31">
        <f>VLOOKUP(K31,BheightCalcs!I$1:M$429, 5, FALSE)</f>
        <v>4.4507000000000003</v>
      </c>
      <c r="M31">
        <f>VLOOKUP(A31, BheightCalcs!P$1:S$39, 4, FALSE)</f>
        <v>8</v>
      </c>
    </row>
    <row r="32" spans="1:13" x14ac:dyDescent="0.2">
      <c r="A32" t="s">
        <v>20</v>
      </c>
      <c r="B32">
        <v>2007</v>
      </c>
      <c r="C32" t="s">
        <v>11</v>
      </c>
      <c r="D32" t="s">
        <v>15</v>
      </c>
      <c r="E32" t="s">
        <v>22</v>
      </c>
      <c r="F32">
        <v>66</v>
      </c>
      <c r="G32">
        <v>286</v>
      </c>
      <c r="H32" t="s">
        <v>14</v>
      </c>
      <c r="I32">
        <v>8</v>
      </c>
      <c r="J32" t="b">
        <v>1</v>
      </c>
      <c r="K32" t="str">
        <f t="shared" si="0"/>
        <v>ala082007</v>
      </c>
      <c r="L32">
        <f>VLOOKUP(K32,BheightCalcs!I$1:M$429, 5, FALSE)</f>
        <v>4.4507000000000003</v>
      </c>
      <c r="M32">
        <f>VLOOKUP(A32, BheightCalcs!P$1:S$39, 4, FALSE)</f>
        <v>8</v>
      </c>
    </row>
    <row r="33" spans="1:13" x14ac:dyDescent="0.2">
      <c r="A33" t="s">
        <v>20</v>
      </c>
      <c r="B33">
        <v>2008</v>
      </c>
      <c r="C33" t="s">
        <v>11</v>
      </c>
      <c r="D33" t="s">
        <v>12</v>
      </c>
      <c r="E33" t="s">
        <v>21</v>
      </c>
      <c r="F33">
        <v>53</v>
      </c>
      <c r="G33">
        <v>299</v>
      </c>
      <c r="H33" t="s">
        <v>14</v>
      </c>
      <c r="I33">
        <v>8</v>
      </c>
      <c r="J33" t="b">
        <v>1</v>
      </c>
      <c r="K33" t="str">
        <f t="shared" si="0"/>
        <v>ala082008</v>
      </c>
      <c r="L33">
        <f>VLOOKUP(K33,BheightCalcs!I$1:M$429, 5, FALSE)</f>
        <v>4.9274500000000003</v>
      </c>
      <c r="M33">
        <f>VLOOKUP(A33, BheightCalcs!P$1:S$39, 4, FALSE)</f>
        <v>8</v>
      </c>
    </row>
    <row r="34" spans="1:13" x14ac:dyDescent="0.2">
      <c r="A34" t="s">
        <v>20</v>
      </c>
      <c r="B34">
        <v>2008</v>
      </c>
      <c r="C34" t="s">
        <v>11</v>
      </c>
      <c r="D34" t="s">
        <v>15</v>
      </c>
      <c r="E34" t="s">
        <v>22</v>
      </c>
      <c r="F34">
        <v>53</v>
      </c>
      <c r="G34">
        <v>299</v>
      </c>
      <c r="H34" t="s">
        <v>14</v>
      </c>
      <c r="I34">
        <v>8</v>
      </c>
      <c r="J34" t="b">
        <v>1</v>
      </c>
      <c r="K34" t="str">
        <f t="shared" si="0"/>
        <v>ala082008</v>
      </c>
      <c r="L34">
        <f>VLOOKUP(K34,BheightCalcs!I$1:M$429, 5, FALSE)</f>
        <v>4.9274500000000003</v>
      </c>
      <c r="M34">
        <f>VLOOKUP(A34, BheightCalcs!P$1:S$39, 4, FALSE)</f>
        <v>8</v>
      </c>
    </row>
    <row r="35" spans="1:13" x14ac:dyDescent="0.2">
      <c r="A35" t="s">
        <v>20</v>
      </c>
      <c r="B35">
        <v>2009</v>
      </c>
      <c r="C35" t="s">
        <v>11</v>
      </c>
      <c r="D35" t="s">
        <v>15</v>
      </c>
      <c r="E35" t="s">
        <v>22</v>
      </c>
      <c r="F35">
        <v>44</v>
      </c>
      <c r="G35">
        <v>288</v>
      </c>
      <c r="H35" t="s">
        <v>14</v>
      </c>
      <c r="I35">
        <v>8</v>
      </c>
      <c r="J35" t="b">
        <v>1</v>
      </c>
      <c r="K35" t="str">
        <f t="shared" si="0"/>
        <v>ala082009</v>
      </c>
      <c r="L35">
        <f>VLOOKUP(K35,BheightCalcs!I$1:M$429, 5, FALSE)</f>
        <v>5.7473000000000001</v>
      </c>
      <c r="M35">
        <f>VLOOKUP(A35, BheightCalcs!P$1:S$39, 4, FALSE)</f>
        <v>8</v>
      </c>
    </row>
    <row r="36" spans="1:13" x14ac:dyDescent="0.2">
      <c r="A36" t="s">
        <v>20</v>
      </c>
      <c r="B36">
        <v>2009</v>
      </c>
      <c r="C36" t="s">
        <v>11</v>
      </c>
      <c r="D36" t="s">
        <v>12</v>
      </c>
      <c r="E36" t="s">
        <v>21</v>
      </c>
      <c r="F36">
        <v>44</v>
      </c>
      <c r="G36">
        <v>288</v>
      </c>
      <c r="H36" t="s">
        <v>14</v>
      </c>
      <c r="I36">
        <v>8</v>
      </c>
      <c r="J36" t="b">
        <v>1</v>
      </c>
      <c r="K36" t="str">
        <f t="shared" si="0"/>
        <v>ala082009</v>
      </c>
      <c r="L36">
        <f>VLOOKUP(K36,BheightCalcs!I$1:M$429, 5, FALSE)</f>
        <v>5.7473000000000001</v>
      </c>
      <c r="M36">
        <f>VLOOKUP(A36, BheightCalcs!P$1:S$39, 4, FALSE)</f>
        <v>8</v>
      </c>
    </row>
    <row r="37" spans="1:13" x14ac:dyDescent="0.2">
      <c r="A37" t="s">
        <v>20</v>
      </c>
      <c r="B37">
        <v>2010</v>
      </c>
      <c r="C37" t="s">
        <v>11</v>
      </c>
      <c r="D37" t="s">
        <v>12</v>
      </c>
      <c r="E37" t="s">
        <v>21</v>
      </c>
      <c r="F37">
        <v>40</v>
      </c>
      <c r="G37">
        <v>282</v>
      </c>
      <c r="H37" t="s">
        <v>14</v>
      </c>
      <c r="I37">
        <v>8</v>
      </c>
      <c r="J37" t="b">
        <v>1</v>
      </c>
      <c r="K37" t="str">
        <f t="shared" si="0"/>
        <v>ala082010</v>
      </c>
      <c r="L37">
        <f>VLOOKUP(K37,BheightCalcs!I$1:M$429, 5, FALSE)</f>
        <v>6.3956</v>
      </c>
      <c r="M37">
        <f>VLOOKUP(A37, BheightCalcs!P$1:S$39, 4, FALSE)</f>
        <v>8</v>
      </c>
    </row>
    <row r="38" spans="1:13" x14ac:dyDescent="0.2">
      <c r="A38" t="s">
        <v>20</v>
      </c>
      <c r="B38">
        <v>2010</v>
      </c>
      <c r="C38" t="s">
        <v>11</v>
      </c>
      <c r="D38" t="s">
        <v>15</v>
      </c>
      <c r="E38" t="s">
        <v>22</v>
      </c>
      <c r="F38">
        <v>40</v>
      </c>
      <c r="G38">
        <v>282</v>
      </c>
      <c r="H38" t="s">
        <v>14</v>
      </c>
      <c r="I38">
        <v>8</v>
      </c>
      <c r="J38" t="b">
        <v>1</v>
      </c>
      <c r="K38" t="str">
        <f t="shared" si="0"/>
        <v>ala082010</v>
      </c>
      <c r="L38">
        <f>VLOOKUP(K38,BheightCalcs!I$1:M$429, 5, FALSE)</f>
        <v>6.3956</v>
      </c>
      <c r="M38">
        <f>VLOOKUP(A38, BheightCalcs!P$1:S$39, 4, FALSE)</f>
        <v>8</v>
      </c>
    </row>
    <row r="39" spans="1:13" x14ac:dyDescent="0.2">
      <c r="A39" t="s">
        <v>20</v>
      </c>
      <c r="B39">
        <v>2011</v>
      </c>
      <c r="C39" t="s">
        <v>11</v>
      </c>
      <c r="D39" t="s">
        <v>15</v>
      </c>
      <c r="E39" t="s">
        <v>22</v>
      </c>
      <c r="F39">
        <v>66</v>
      </c>
      <c r="G39">
        <v>284</v>
      </c>
      <c r="H39" t="s">
        <v>14</v>
      </c>
      <c r="I39">
        <v>8</v>
      </c>
      <c r="J39" t="b">
        <v>1</v>
      </c>
      <c r="K39" t="str">
        <f t="shared" si="0"/>
        <v>ala082011</v>
      </c>
      <c r="L39">
        <f>VLOOKUP(K39,BheightCalcs!I$1:M$429, 5, FALSE)</f>
        <v>6.8698500000000005</v>
      </c>
      <c r="M39">
        <f>VLOOKUP(A39, BheightCalcs!P$1:S$39, 4, FALSE)</f>
        <v>8</v>
      </c>
    </row>
    <row r="40" spans="1:13" x14ac:dyDescent="0.2">
      <c r="A40" t="s">
        <v>20</v>
      </c>
      <c r="B40">
        <v>2011</v>
      </c>
      <c r="C40" t="s">
        <v>11</v>
      </c>
      <c r="D40" t="s">
        <v>12</v>
      </c>
      <c r="E40" t="s">
        <v>21</v>
      </c>
      <c r="F40">
        <v>66</v>
      </c>
      <c r="G40">
        <v>284</v>
      </c>
      <c r="H40" t="s">
        <v>14</v>
      </c>
      <c r="I40">
        <v>8</v>
      </c>
      <c r="J40" t="b">
        <v>1</v>
      </c>
      <c r="K40" t="str">
        <f t="shared" si="0"/>
        <v>ala082011</v>
      </c>
      <c r="L40">
        <f>VLOOKUP(K40,BheightCalcs!I$1:M$429, 5, FALSE)</f>
        <v>6.8698500000000005</v>
      </c>
      <c r="M40">
        <f>VLOOKUP(A40, BheightCalcs!P$1:S$39, 4, FALSE)</f>
        <v>8</v>
      </c>
    </row>
    <row r="41" spans="1:13" x14ac:dyDescent="0.2">
      <c r="A41" t="s">
        <v>20</v>
      </c>
      <c r="B41">
        <v>2012</v>
      </c>
      <c r="C41" t="s">
        <v>11</v>
      </c>
      <c r="D41" t="s">
        <v>12</v>
      </c>
      <c r="E41" t="s">
        <v>21</v>
      </c>
      <c r="F41">
        <v>80</v>
      </c>
      <c r="G41">
        <v>303</v>
      </c>
      <c r="H41" t="s">
        <v>14</v>
      </c>
      <c r="I41">
        <v>8</v>
      </c>
      <c r="J41" t="b">
        <v>1</v>
      </c>
      <c r="K41" t="str">
        <f t="shared" si="0"/>
        <v>ala082012</v>
      </c>
      <c r="L41">
        <f>VLOOKUP(K41,BheightCalcs!I$1:M$429, 5, FALSE)</f>
        <v>7.3315000000000001</v>
      </c>
      <c r="M41">
        <f>VLOOKUP(A41, BheightCalcs!P$1:S$39, 4, FALSE)</f>
        <v>8</v>
      </c>
    </row>
    <row r="42" spans="1:13" x14ac:dyDescent="0.2">
      <c r="A42" t="s">
        <v>20</v>
      </c>
      <c r="B42">
        <v>2012</v>
      </c>
      <c r="C42" t="s">
        <v>11</v>
      </c>
      <c r="D42" t="s">
        <v>15</v>
      </c>
      <c r="E42" t="s">
        <v>22</v>
      </c>
      <c r="F42">
        <v>80</v>
      </c>
      <c r="G42">
        <v>303</v>
      </c>
      <c r="H42" t="s">
        <v>14</v>
      </c>
      <c r="I42">
        <v>8</v>
      </c>
      <c r="J42" t="b">
        <v>1</v>
      </c>
      <c r="K42" t="str">
        <f t="shared" si="0"/>
        <v>ala082012</v>
      </c>
      <c r="L42">
        <f>VLOOKUP(K42,BheightCalcs!I$1:M$429, 5, FALSE)</f>
        <v>7.3315000000000001</v>
      </c>
      <c r="M42">
        <f>VLOOKUP(A42, BheightCalcs!P$1:S$39, 4, FALSE)</f>
        <v>8</v>
      </c>
    </row>
    <row r="43" spans="1:13" x14ac:dyDescent="0.2">
      <c r="A43" t="s">
        <v>20</v>
      </c>
      <c r="B43">
        <v>2013</v>
      </c>
      <c r="C43" t="s">
        <v>11</v>
      </c>
      <c r="D43" t="s">
        <v>12</v>
      </c>
      <c r="E43" t="s">
        <v>21</v>
      </c>
      <c r="F43">
        <v>40</v>
      </c>
      <c r="G43">
        <v>257</v>
      </c>
      <c r="H43" t="s">
        <v>14</v>
      </c>
      <c r="I43">
        <v>8</v>
      </c>
      <c r="J43" t="b">
        <v>1</v>
      </c>
      <c r="K43" t="str">
        <f t="shared" si="0"/>
        <v>ala082013</v>
      </c>
      <c r="L43">
        <f>VLOOKUP(K43,BheightCalcs!I$1:M$429, 5, FALSE)</f>
        <v>8</v>
      </c>
      <c r="M43">
        <f>VLOOKUP(A43, BheightCalcs!P$1:S$39, 4, FALSE)</f>
        <v>8</v>
      </c>
    </row>
    <row r="44" spans="1:13" x14ac:dyDescent="0.2">
      <c r="A44" t="s">
        <v>20</v>
      </c>
      <c r="B44">
        <v>2013</v>
      </c>
      <c r="C44" t="s">
        <v>11</v>
      </c>
      <c r="D44" t="s">
        <v>15</v>
      </c>
      <c r="E44" t="s">
        <v>22</v>
      </c>
      <c r="F44">
        <v>40</v>
      </c>
      <c r="G44">
        <v>257</v>
      </c>
      <c r="H44" t="s">
        <v>14</v>
      </c>
      <c r="I44">
        <v>8</v>
      </c>
      <c r="J44" t="b">
        <v>1</v>
      </c>
      <c r="K44" t="str">
        <f t="shared" si="0"/>
        <v>ala082013</v>
      </c>
      <c r="L44">
        <f>VLOOKUP(K44,BheightCalcs!I$1:M$429, 5, FALSE)</f>
        <v>8</v>
      </c>
      <c r="M44">
        <f>VLOOKUP(A44, BheightCalcs!P$1:S$39, 4, FALSE)</f>
        <v>8</v>
      </c>
    </row>
    <row r="45" spans="1:13" x14ac:dyDescent="0.2">
      <c r="A45" t="s">
        <v>23</v>
      </c>
      <c r="B45">
        <v>2002</v>
      </c>
      <c r="C45" t="s">
        <v>11</v>
      </c>
      <c r="D45" t="s">
        <v>12</v>
      </c>
      <c r="E45" t="s">
        <v>25</v>
      </c>
      <c r="F45">
        <v>33</v>
      </c>
      <c r="G45">
        <v>292</v>
      </c>
      <c r="H45" t="s">
        <v>14</v>
      </c>
      <c r="I45">
        <v>8.5</v>
      </c>
      <c r="J45" t="b">
        <v>1</v>
      </c>
      <c r="K45" t="str">
        <f t="shared" si="0"/>
        <v>ala102002</v>
      </c>
      <c r="L45">
        <f>VLOOKUP(K45,BheightCalcs!I$1:M$429, 5, FALSE)</f>
        <v>2.2867499999999996</v>
      </c>
      <c r="M45">
        <f>VLOOKUP(A45, BheightCalcs!P$1:S$39, 4, FALSE)</f>
        <v>11</v>
      </c>
    </row>
    <row r="46" spans="1:13" x14ac:dyDescent="0.2">
      <c r="A46" t="s">
        <v>23</v>
      </c>
      <c r="B46">
        <v>2003</v>
      </c>
      <c r="C46" t="s">
        <v>11</v>
      </c>
      <c r="D46" t="s">
        <v>12</v>
      </c>
      <c r="E46" t="s">
        <v>25</v>
      </c>
      <c r="F46">
        <v>29</v>
      </c>
      <c r="G46">
        <v>254</v>
      </c>
      <c r="H46" t="s">
        <v>14</v>
      </c>
      <c r="I46">
        <v>8.5</v>
      </c>
      <c r="J46" t="b">
        <v>1</v>
      </c>
      <c r="K46" t="str">
        <f t="shared" si="0"/>
        <v>ala102003</v>
      </c>
      <c r="L46">
        <f>VLOOKUP(K46,BheightCalcs!I$1:M$429, 5, FALSE)</f>
        <v>2.8694999999999995</v>
      </c>
      <c r="M46">
        <f>VLOOKUP(A46, BheightCalcs!P$1:S$39, 4, FALSE)</f>
        <v>11</v>
      </c>
    </row>
    <row r="47" spans="1:13" x14ac:dyDescent="0.2">
      <c r="A47" t="s">
        <v>23</v>
      </c>
      <c r="B47">
        <v>2003</v>
      </c>
      <c r="C47" t="s">
        <v>11</v>
      </c>
      <c r="D47" t="s">
        <v>15</v>
      </c>
      <c r="E47" t="s">
        <v>24</v>
      </c>
      <c r="F47">
        <v>29</v>
      </c>
      <c r="G47">
        <v>254</v>
      </c>
      <c r="H47" t="s">
        <v>14</v>
      </c>
      <c r="I47">
        <v>8.5</v>
      </c>
      <c r="J47" t="b">
        <v>1</v>
      </c>
      <c r="K47" t="str">
        <f t="shared" si="0"/>
        <v>ala102003</v>
      </c>
      <c r="L47">
        <f>VLOOKUP(K47,BheightCalcs!I$1:M$429, 5, FALSE)</f>
        <v>2.8694999999999995</v>
      </c>
      <c r="M47">
        <f>VLOOKUP(A47, BheightCalcs!P$1:S$39, 4, FALSE)</f>
        <v>11</v>
      </c>
    </row>
    <row r="48" spans="1:13" x14ac:dyDescent="0.2">
      <c r="A48" t="s">
        <v>23</v>
      </c>
      <c r="B48">
        <v>2004</v>
      </c>
      <c r="C48" t="s">
        <v>11</v>
      </c>
      <c r="D48" t="s">
        <v>15</v>
      </c>
      <c r="E48" t="s">
        <v>24</v>
      </c>
      <c r="F48">
        <v>42</v>
      </c>
      <c r="G48">
        <v>278</v>
      </c>
      <c r="H48" t="s">
        <v>14</v>
      </c>
      <c r="I48">
        <v>8.5</v>
      </c>
      <c r="J48" t="b">
        <v>1</v>
      </c>
      <c r="K48" t="str">
        <f t="shared" si="0"/>
        <v>ala102004</v>
      </c>
      <c r="L48">
        <f>VLOOKUP(K48,BheightCalcs!I$1:M$429, 5, FALSE)</f>
        <v>3.6792499999999992</v>
      </c>
      <c r="M48">
        <f>VLOOKUP(A48, BheightCalcs!P$1:S$39, 4, FALSE)</f>
        <v>11</v>
      </c>
    </row>
    <row r="49" spans="1:13" x14ac:dyDescent="0.2">
      <c r="A49" t="s">
        <v>23</v>
      </c>
      <c r="B49">
        <v>2004</v>
      </c>
      <c r="C49" t="s">
        <v>11</v>
      </c>
      <c r="D49" t="s">
        <v>12</v>
      </c>
      <c r="E49" t="s">
        <v>25</v>
      </c>
      <c r="F49">
        <v>42</v>
      </c>
      <c r="G49">
        <v>278</v>
      </c>
      <c r="H49" t="s">
        <v>14</v>
      </c>
      <c r="I49">
        <v>8.5</v>
      </c>
      <c r="J49" t="b">
        <v>1</v>
      </c>
      <c r="K49" t="str">
        <f t="shared" si="0"/>
        <v>ala102004</v>
      </c>
      <c r="L49">
        <f>VLOOKUP(K49,BheightCalcs!I$1:M$429, 5, FALSE)</f>
        <v>3.6792499999999992</v>
      </c>
      <c r="M49">
        <f>VLOOKUP(A49, BheightCalcs!P$1:S$39, 4, FALSE)</f>
        <v>11</v>
      </c>
    </row>
    <row r="50" spans="1:13" x14ac:dyDescent="0.2">
      <c r="A50" t="s">
        <v>23</v>
      </c>
      <c r="B50">
        <v>2005</v>
      </c>
      <c r="C50" t="s">
        <v>11</v>
      </c>
      <c r="D50" t="s">
        <v>12</v>
      </c>
      <c r="E50" t="s">
        <v>25</v>
      </c>
      <c r="F50">
        <v>38</v>
      </c>
      <c r="G50">
        <v>303</v>
      </c>
      <c r="H50" t="s">
        <v>14</v>
      </c>
      <c r="I50">
        <v>8.5</v>
      </c>
      <c r="J50" t="b">
        <v>1</v>
      </c>
      <c r="K50" t="str">
        <f t="shared" si="0"/>
        <v>ala102005</v>
      </c>
      <c r="L50">
        <f>VLOOKUP(K50,BheightCalcs!I$1:M$429, 5, FALSE)</f>
        <v>4.2140999999999993</v>
      </c>
      <c r="M50">
        <f>VLOOKUP(A50, BheightCalcs!P$1:S$39, 4, FALSE)</f>
        <v>11</v>
      </c>
    </row>
    <row r="51" spans="1:13" x14ac:dyDescent="0.2">
      <c r="A51" t="s">
        <v>23</v>
      </c>
      <c r="B51">
        <v>2005</v>
      </c>
      <c r="C51" t="s">
        <v>11</v>
      </c>
      <c r="D51" t="s">
        <v>15</v>
      </c>
      <c r="E51" t="s">
        <v>24</v>
      </c>
      <c r="F51">
        <v>38</v>
      </c>
      <c r="G51">
        <v>303</v>
      </c>
      <c r="H51" t="s">
        <v>14</v>
      </c>
      <c r="I51">
        <v>8.5</v>
      </c>
      <c r="J51" t="b">
        <v>1</v>
      </c>
      <c r="K51" t="str">
        <f t="shared" si="0"/>
        <v>ala102005</v>
      </c>
      <c r="L51">
        <f>VLOOKUP(K51,BheightCalcs!I$1:M$429, 5, FALSE)</f>
        <v>4.2140999999999993</v>
      </c>
      <c r="M51">
        <f>VLOOKUP(A51, BheightCalcs!P$1:S$39, 4, FALSE)</f>
        <v>11</v>
      </c>
    </row>
    <row r="52" spans="1:13" x14ac:dyDescent="0.2">
      <c r="A52" t="s">
        <v>23</v>
      </c>
      <c r="B52">
        <v>2006</v>
      </c>
      <c r="C52" t="s">
        <v>11</v>
      </c>
      <c r="D52" t="s">
        <v>15</v>
      </c>
      <c r="E52" t="s">
        <v>24</v>
      </c>
      <c r="F52">
        <v>25</v>
      </c>
      <c r="G52">
        <v>294</v>
      </c>
      <c r="H52" t="s">
        <v>14</v>
      </c>
      <c r="I52">
        <v>8.5</v>
      </c>
      <c r="J52" t="b">
        <v>1</v>
      </c>
      <c r="K52" t="str">
        <f t="shared" si="0"/>
        <v>ala102006</v>
      </c>
      <c r="L52">
        <f>VLOOKUP(K52,BheightCalcs!I$1:M$429, 5, FALSE)</f>
        <v>4.7765999999999993</v>
      </c>
      <c r="M52">
        <f>VLOOKUP(A52, BheightCalcs!P$1:S$39, 4, FALSE)</f>
        <v>11</v>
      </c>
    </row>
    <row r="53" spans="1:13" x14ac:dyDescent="0.2">
      <c r="A53" t="s">
        <v>23</v>
      </c>
      <c r="B53">
        <v>2006</v>
      </c>
      <c r="C53" t="s">
        <v>11</v>
      </c>
      <c r="D53" t="s">
        <v>12</v>
      </c>
      <c r="E53" t="s">
        <v>25</v>
      </c>
      <c r="F53">
        <v>25</v>
      </c>
      <c r="G53">
        <v>294</v>
      </c>
      <c r="H53" t="s">
        <v>14</v>
      </c>
      <c r="I53">
        <v>8.5</v>
      </c>
      <c r="J53" t="b">
        <v>1</v>
      </c>
      <c r="K53" t="str">
        <f t="shared" si="0"/>
        <v>ala102006</v>
      </c>
      <c r="L53">
        <f>VLOOKUP(K53,BheightCalcs!I$1:M$429, 5, FALSE)</f>
        <v>4.7765999999999993</v>
      </c>
      <c r="M53">
        <f>VLOOKUP(A53, BheightCalcs!P$1:S$39, 4, FALSE)</f>
        <v>11</v>
      </c>
    </row>
    <row r="54" spans="1:13" x14ac:dyDescent="0.2">
      <c r="A54" t="s">
        <v>23</v>
      </c>
      <c r="B54">
        <v>2007</v>
      </c>
      <c r="C54" t="s">
        <v>11</v>
      </c>
      <c r="D54" t="s">
        <v>15</v>
      </c>
      <c r="E54" t="s">
        <v>24</v>
      </c>
      <c r="F54">
        <v>66</v>
      </c>
      <c r="G54">
        <v>286</v>
      </c>
      <c r="H54" t="s">
        <v>14</v>
      </c>
      <c r="I54">
        <v>8.5</v>
      </c>
      <c r="J54" t="b">
        <v>1</v>
      </c>
      <c r="K54" t="str">
        <f t="shared" si="0"/>
        <v>ala102007</v>
      </c>
      <c r="L54">
        <f>VLOOKUP(K54,BheightCalcs!I$1:M$429, 5, FALSE)</f>
        <v>5.2962999999999996</v>
      </c>
      <c r="M54">
        <f>VLOOKUP(A54, BheightCalcs!P$1:S$39, 4, FALSE)</f>
        <v>11</v>
      </c>
    </row>
    <row r="55" spans="1:13" x14ac:dyDescent="0.2">
      <c r="A55" t="s">
        <v>23</v>
      </c>
      <c r="B55">
        <v>2007</v>
      </c>
      <c r="C55" t="s">
        <v>11</v>
      </c>
      <c r="D55" t="s">
        <v>12</v>
      </c>
      <c r="E55" t="s">
        <v>25</v>
      </c>
      <c r="F55">
        <v>66</v>
      </c>
      <c r="G55">
        <v>286</v>
      </c>
      <c r="H55" t="s">
        <v>14</v>
      </c>
      <c r="I55">
        <v>8.5</v>
      </c>
      <c r="J55" t="b">
        <v>1</v>
      </c>
      <c r="K55" t="str">
        <f t="shared" si="0"/>
        <v>ala102007</v>
      </c>
      <c r="L55">
        <f>VLOOKUP(K55,BheightCalcs!I$1:M$429, 5, FALSE)</f>
        <v>5.2962999999999996</v>
      </c>
      <c r="M55">
        <f>VLOOKUP(A55, BheightCalcs!P$1:S$39, 4, FALSE)</f>
        <v>11</v>
      </c>
    </row>
    <row r="56" spans="1:13" x14ac:dyDescent="0.2">
      <c r="A56" t="s">
        <v>23</v>
      </c>
      <c r="B56">
        <v>2008</v>
      </c>
      <c r="C56" t="s">
        <v>11</v>
      </c>
      <c r="D56" t="s">
        <v>15</v>
      </c>
      <c r="E56" t="s">
        <v>24</v>
      </c>
      <c r="F56">
        <v>53</v>
      </c>
      <c r="G56">
        <v>299</v>
      </c>
      <c r="H56" t="s">
        <v>14</v>
      </c>
      <c r="I56">
        <v>8.5</v>
      </c>
      <c r="J56" t="b">
        <v>1</v>
      </c>
      <c r="K56" t="str">
        <f t="shared" si="0"/>
        <v>ala102008</v>
      </c>
      <c r="L56">
        <f>VLOOKUP(K56,BheightCalcs!I$1:M$429, 5, FALSE)</f>
        <v>5.7200499999999996</v>
      </c>
      <c r="M56">
        <f>VLOOKUP(A56, BheightCalcs!P$1:S$39, 4, FALSE)</f>
        <v>11</v>
      </c>
    </row>
    <row r="57" spans="1:13" x14ac:dyDescent="0.2">
      <c r="A57" t="s">
        <v>23</v>
      </c>
      <c r="B57">
        <v>2008</v>
      </c>
      <c r="C57" t="s">
        <v>11</v>
      </c>
      <c r="D57" t="s">
        <v>12</v>
      </c>
      <c r="E57" t="s">
        <v>25</v>
      </c>
      <c r="F57">
        <v>53</v>
      </c>
      <c r="G57">
        <v>299</v>
      </c>
      <c r="H57" t="s">
        <v>14</v>
      </c>
      <c r="I57">
        <v>8.5</v>
      </c>
      <c r="J57" t="b">
        <v>1</v>
      </c>
      <c r="K57" t="str">
        <f t="shared" si="0"/>
        <v>ala102008</v>
      </c>
      <c r="L57">
        <f>VLOOKUP(K57,BheightCalcs!I$1:M$429, 5, FALSE)</f>
        <v>5.7200499999999996</v>
      </c>
      <c r="M57">
        <f>VLOOKUP(A57, BheightCalcs!P$1:S$39, 4, FALSE)</f>
        <v>11</v>
      </c>
    </row>
    <row r="58" spans="1:13" x14ac:dyDescent="0.2">
      <c r="A58" t="s">
        <v>23</v>
      </c>
      <c r="B58">
        <v>2009</v>
      </c>
      <c r="C58" t="s">
        <v>11</v>
      </c>
      <c r="D58" t="s">
        <v>12</v>
      </c>
      <c r="E58" t="s">
        <v>25</v>
      </c>
      <c r="F58">
        <v>44</v>
      </c>
      <c r="G58">
        <v>288</v>
      </c>
      <c r="H58" t="s">
        <v>14</v>
      </c>
      <c r="I58">
        <v>8.5</v>
      </c>
      <c r="J58" t="b">
        <v>1</v>
      </c>
      <c r="K58" t="str">
        <f t="shared" si="0"/>
        <v>ala102009</v>
      </c>
      <c r="L58">
        <f>VLOOKUP(K58,BheightCalcs!I$1:M$429, 5, FALSE)</f>
        <v>6.2850999999999999</v>
      </c>
      <c r="M58">
        <f>VLOOKUP(A58, BheightCalcs!P$1:S$39, 4, FALSE)</f>
        <v>11</v>
      </c>
    </row>
    <row r="59" spans="1:13" x14ac:dyDescent="0.2">
      <c r="A59" t="s">
        <v>23</v>
      </c>
      <c r="B59">
        <v>2009</v>
      </c>
      <c r="C59" t="s">
        <v>11</v>
      </c>
      <c r="D59" t="s">
        <v>15</v>
      </c>
      <c r="E59" t="s">
        <v>24</v>
      </c>
      <c r="F59">
        <v>44</v>
      </c>
      <c r="G59">
        <v>288</v>
      </c>
      <c r="H59" t="s">
        <v>14</v>
      </c>
      <c r="I59">
        <v>8.5</v>
      </c>
      <c r="J59" t="b">
        <v>1</v>
      </c>
      <c r="K59" t="str">
        <f t="shared" si="0"/>
        <v>ala102009</v>
      </c>
      <c r="L59">
        <f>VLOOKUP(K59,BheightCalcs!I$1:M$429, 5, FALSE)</f>
        <v>6.2850999999999999</v>
      </c>
      <c r="M59">
        <f>VLOOKUP(A59, BheightCalcs!P$1:S$39, 4, FALSE)</f>
        <v>11</v>
      </c>
    </row>
    <row r="60" spans="1:13" x14ac:dyDescent="0.2">
      <c r="A60" t="s">
        <v>23</v>
      </c>
      <c r="B60">
        <v>2010</v>
      </c>
      <c r="C60" t="s">
        <v>11</v>
      </c>
      <c r="D60" t="s">
        <v>12</v>
      </c>
      <c r="E60" t="s">
        <v>25</v>
      </c>
      <c r="F60">
        <v>40</v>
      </c>
      <c r="G60">
        <v>282</v>
      </c>
      <c r="H60" t="s">
        <v>14</v>
      </c>
      <c r="I60">
        <v>8.5</v>
      </c>
      <c r="J60" t="b">
        <v>1</v>
      </c>
      <c r="K60" t="str">
        <f t="shared" si="0"/>
        <v>ala102010</v>
      </c>
      <c r="L60">
        <f>VLOOKUP(K60,BheightCalcs!I$1:M$429, 5, FALSE)</f>
        <v>6.9485999999999999</v>
      </c>
      <c r="M60">
        <f>VLOOKUP(A60, BheightCalcs!P$1:S$39, 4, FALSE)</f>
        <v>11</v>
      </c>
    </row>
    <row r="61" spans="1:13" x14ac:dyDescent="0.2">
      <c r="A61" t="s">
        <v>23</v>
      </c>
      <c r="B61">
        <v>2010</v>
      </c>
      <c r="C61" t="s">
        <v>11</v>
      </c>
      <c r="D61" t="s">
        <v>15</v>
      </c>
      <c r="E61" t="s">
        <v>24</v>
      </c>
      <c r="F61">
        <v>40</v>
      </c>
      <c r="G61">
        <v>282</v>
      </c>
      <c r="H61" t="s">
        <v>14</v>
      </c>
      <c r="I61">
        <v>8.5</v>
      </c>
      <c r="J61" t="b">
        <v>1</v>
      </c>
      <c r="K61" t="str">
        <f t="shared" si="0"/>
        <v>ala102010</v>
      </c>
      <c r="L61">
        <f>VLOOKUP(K61,BheightCalcs!I$1:M$429, 5, FALSE)</f>
        <v>6.9485999999999999</v>
      </c>
      <c r="M61">
        <f>VLOOKUP(A61, BheightCalcs!P$1:S$39, 4, FALSE)</f>
        <v>11</v>
      </c>
    </row>
    <row r="62" spans="1:13" x14ac:dyDescent="0.2">
      <c r="A62" t="s">
        <v>23</v>
      </c>
      <c r="B62">
        <v>2011</v>
      </c>
      <c r="C62" t="s">
        <v>11</v>
      </c>
      <c r="D62" t="s">
        <v>15</v>
      </c>
      <c r="E62" t="s">
        <v>24</v>
      </c>
      <c r="F62">
        <v>66</v>
      </c>
      <c r="G62">
        <v>284</v>
      </c>
      <c r="H62" t="s">
        <v>14</v>
      </c>
      <c r="I62">
        <v>8.5</v>
      </c>
      <c r="J62" t="b">
        <v>1</v>
      </c>
      <c r="K62" t="str">
        <f t="shared" si="0"/>
        <v>ala102011</v>
      </c>
      <c r="L62">
        <f>VLOOKUP(K62,BheightCalcs!I$1:M$429, 5, FALSE)</f>
        <v>7.42035</v>
      </c>
      <c r="M62">
        <f>VLOOKUP(A62, BheightCalcs!P$1:S$39, 4, FALSE)</f>
        <v>11</v>
      </c>
    </row>
    <row r="63" spans="1:13" x14ac:dyDescent="0.2">
      <c r="A63" t="s">
        <v>23</v>
      </c>
      <c r="B63">
        <v>2011</v>
      </c>
      <c r="C63" t="s">
        <v>11</v>
      </c>
      <c r="D63" t="s">
        <v>12</v>
      </c>
      <c r="E63" t="s">
        <v>25</v>
      </c>
      <c r="F63">
        <v>66</v>
      </c>
      <c r="G63">
        <v>284</v>
      </c>
      <c r="H63" t="s">
        <v>14</v>
      </c>
      <c r="I63">
        <v>8.5</v>
      </c>
      <c r="J63" t="b">
        <v>1</v>
      </c>
      <c r="K63" t="str">
        <f t="shared" si="0"/>
        <v>ala102011</v>
      </c>
      <c r="L63">
        <f>VLOOKUP(K63,BheightCalcs!I$1:M$429, 5, FALSE)</f>
        <v>7.42035</v>
      </c>
      <c r="M63">
        <f>VLOOKUP(A63, BheightCalcs!P$1:S$39, 4, FALSE)</f>
        <v>11</v>
      </c>
    </row>
    <row r="64" spans="1:13" x14ac:dyDescent="0.2">
      <c r="A64" t="s">
        <v>23</v>
      </c>
      <c r="B64">
        <v>2012</v>
      </c>
      <c r="C64" t="s">
        <v>11</v>
      </c>
      <c r="D64" t="s">
        <v>12</v>
      </c>
      <c r="E64" t="s">
        <v>25</v>
      </c>
      <c r="F64">
        <v>80</v>
      </c>
      <c r="G64">
        <v>303</v>
      </c>
      <c r="H64" t="s">
        <v>14</v>
      </c>
      <c r="I64">
        <v>8.5</v>
      </c>
      <c r="J64" t="b">
        <v>1</v>
      </c>
      <c r="K64" t="str">
        <f t="shared" si="0"/>
        <v>ala102012</v>
      </c>
      <c r="L64">
        <f>VLOOKUP(K64,BheightCalcs!I$1:M$429, 5, FALSE)</f>
        <v>8.0257500000000004</v>
      </c>
      <c r="M64">
        <f>VLOOKUP(A64, BheightCalcs!P$1:S$39, 4, FALSE)</f>
        <v>11</v>
      </c>
    </row>
    <row r="65" spans="1:13" x14ac:dyDescent="0.2">
      <c r="A65" t="s">
        <v>23</v>
      </c>
      <c r="B65">
        <v>2012</v>
      </c>
      <c r="C65" t="s">
        <v>11</v>
      </c>
      <c r="D65" t="s">
        <v>15</v>
      </c>
      <c r="E65" t="s">
        <v>24</v>
      </c>
      <c r="F65">
        <v>80</v>
      </c>
      <c r="G65">
        <v>303</v>
      </c>
      <c r="H65" t="s">
        <v>14</v>
      </c>
      <c r="I65">
        <v>8.5</v>
      </c>
      <c r="J65" t="b">
        <v>1</v>
      </c>
      <c r="K65" t="str">
        <f t="shared" si="0"/>
        <v>ala102012</v>
      </c>
      <c r="L65">
        <f>VLOOKUP(K65,BheightCalcs!I$1:M$429, 5, FALSE)</f>
        <v>8.0257500000000004</v>
      </c>
      <c r="M65">
        <f>VLOOKUP(A65, BheightCalcs!P$1:S$39, 4, FALSE)</f>
        <v>11</v>
      </c>
    </row>
    <row r="66" spans="1:13" x14ac:dyDescent="0.2">
      <c r="A66" t="s">
        <v>23</v>
      </c>
      <c r="B66">
        <v>2013</v>
      </c>
      <c r="C66" t="s">
        <v>11</v>
      </c>
      <c r="D66" t="s">
        <v>15</v>
      </c>
      <c r="E66" t="s">
        <v>24</v>
      </c>
      <c r="F66">
        <v>40</v>
      </c>
      <c r="G66">
        <v>257</v>
      </c>
      <c r="H66" t="s">
        <v>14</v>
      </c>
      <c r="I66">
        <v>8.5</v>
      </c>
      <c r="J66" t="b">
        <v>1</v>
      </c>
      <c r="K66" t="str">
        <f t="shared" si="0"/>
        <v>ala102013</v>
      </c>
      <c r="L66">
        <f>VLOOKUP(K66,BheightCalcs!I$1:M$429, 5, FALSE)</f>
        <v>8.5</v>
      </c>
      <c r="M66">
        <f>VLOOKUP(A66, BheightCalcs!P$1:S$39, 4, FALSE)</f>
        <v>11</v>
      </c>
    </row>
    <row r="67" spans="1:13" x14ac:dyDescent="0.2">
      <c r="A67" t="s">
        <v>23</v>
      </c>
      <c r="B67">
        <v>2013</v>
      </c>
      <c r="C67" t="s">
        <v>11</v>
      </c>
      <c r="D67" t="s">
        <v>12</v>
      </c>
      <c r="E67" t="s">
        <v>25</v>
      </c>
      <c r="F67">
        <v>40</v>
      </c>
      <c r="G67">
        <v>257</v>
      </c>
      <c r="H67" t="s">
        <v>14</v>
      </c>
      <c r="I67">
        <v>8.5</v>
      </c>
      <c r="J67" t="b">
        <v>1</v>
      </c>
      <c r="K67" t="str">
        <f t="shared" ref="K67:K130" si="1">CONCATENATE(A67, B67)</f>
        <v>ala102013</v>
      </c>
      <c r="L67">
        <f>VLOOKUP(K67,BheightCalcs!I$1:M$429, 5, FALSE)</f>
        <v>8.5</v>
      </c>
      <c r="M67">
        <f>VLOOKUP(A67, BheightCalcs!P$1:S$39, 4, FALSE)</f>
        <v>11</v>
      </c>
    </row>
    <row r="68" spans="1:13" x14ac:dyDescent="0.2">
      <c r="A68" t="s">
        <v>26</v>
      </c>
      <c r="B68">
        <v>2000</v>
      </c>
      <c r="C68" t="s">
        <v>11</v>
      </c>
      <c r="D68" t="s">
        <v>15</v>
      </c>
      <c r="E68" t="s">
        <v>27</v>
      </c>
      <c r="F68">
        <v>42</v>
      </c>
      <c r="G68">
        <v>301</v>
      </c>
      <c r="H68" t="s">
        <v>14</v>
      </c>
      <c r="I68">
        <v>13.5</v>
      </c>
      <c r="J68" t="b">
        <v>1</v>
      </c>
      <c r="K68" t="str">
        <f t="shared" si="1"/>
        <v>ala122000</v>
      </c>
      <c r="L68">
        <f>VLOOKUP(K68,BheightCalcs!I$1:M$429, 5, FALSE)</f>
        <v>4.9407499999999986</v>
      </c>
      <c r="M68">
        <f>VLOOKUP(A68, BheightCalcs!P$1:S$39, 4, FALSE)</f>
        <v>13</v>
      </c>
    </row>
    <row r="69" spans="1:13" x14ac:dyDescent="0.2">
      <c r="A69" t="s">
        <v>26</v>
      </c>
      <c r="B69">
        <v>2000</v>
      </c>
      <c r="C69" t="s">
        <v>11</v>
      </c>
      <c r="D69" t="s">
        <v>12</v>
      </c>
      <c r="E69" t="s">
        <v>28</v>
      </c>
      <c r="F69">
        <v>42</v>
      </c>
      <c r="G69">
        <v>301</v>
      </c>
      <c r="H69" t="s">
        <v>14</v>
      </c>
      <c r="I69">
        <v>13.5</v>
      </c>
      <c r="J69" t="b">
        <v>1</v>
      </c>
      <c r="K69" t="str">
        <f t="shared" si="1"/>
        <v>ala122000</v>
      </c>
      <c r="L69">
        <f>VLOOKUP(K69,BheightCalcs!I$1:M$429, 5, FALSE)</f>
        <v>4.9407499999999986</v>
      </c>
      <c r="M69">
        <f>VLOOKUP(A69, BheightCalcs!P$1:S$39, 4, FALSE)</f>
        <v>13</v>
      </c>
    </row>
    <row r="70" spans="1:13" x14ac:dyDescent="0.2">
      <c r="A70" t="s">
        <v>26</v>
      </c>
      <c r="B70">
        <v>2001</v>
      </c>
      <c r="C70" t="s">
        <v>11</v>
      </c>
      <c r="D70" t="s">
        <v>15</v>
      </c>
      <c r="E70" t="s">
        <v>27</v>
      </c>
      <c r="F70">
        <v>35</v>
      </c>
      <c r="G70">
        <v>263</v>
      </c>
      <c r="H70" t="s">
        <v>14</v>
      </c>
      <c r="I70">
        <v>13.5</v>
      </c>
      <c r="J70" t="b">
        <v>1</v>
      </c>
      <c r="K70" t="str">
        <f t="shared" si="1"/>
        <v>ala122001</v>
      </c>
      <c r="L70">
        <f>VLOOKUP(K70,BheightCalcs!I$1:M$429, 5, FALSE)</f>
        <v>5.6672499999999983</v>
      </c>
      <c r="M70">
        <f>VLOOKUP(A70, BheightCalcs!P$1:S$39, 4, FALSE)</f>
        <v>13</v>
      </c>
    </row>
    <row r="71" spans="1:13" x14ac:dyDescent="0.2">
      <c r="A71" t="s">
        <v>26</v>
      </c>
      <c r="B71">
        <v>2001</v>
      </c>
      <c r="C71" t="s">
        <v>11</v>
      </c>
      <c r="D71" t="s">
        <v>12</v>
      </c>
      <c r="E71" t="s">
        <v>28</v>
      </c>
      <c r="F71">
        <v>35</v>
      </c>
      <c r="G71">
        <v>263</v>
      </c>
      <c r="H71" t="s">
        <v>14</v>
      </c>
      <c r="I71">
        <v>13.5</v>
      </c>
      <c r="J71" t="b">
        <v>1</v>
      </c>
      <c r="K71" t="str">
        <f t="shared" si="1"/>
        <v>ala122001</v>
      </c>
      <c r="L71">
        <f>VLOOKUP(K71,BheightCalcs!I$1:M$429, 5, FALSE)</f>
        <v>5.6672499999999983</v>
      </c>
      <c r="M71">
        <f>VLOOKUP(A71, BheightCalcs!P$1:S$39, 4, FALSE)</f>
        <v>13</v>
      </c>
    </row>
    <row r="72" spans="1:13" x14ac:dyDescent="0.2">
      <c r="A72" t="s">
        <v>26</v>
      </c>
      <c r="B72">
        <v>2002</v>
      </c>
      <c r="C72" t="s">
        <v>11</v>
      </c>
      <c r="D72" t="s">
        <v>15</v>
      </c>
      <c r="E72" t="s">
        <v>27</v>
      </c>
      <c r="F72">
        <v>33</v>
      </c>
      <c r="G72">
        <v>292</v>
      </c>
      <c r="H72" t="s">
        <v>14</v>
      </c>
      <c r="I72">
        <v>13.5</v>
      </c>
      <c r="J72" t="b">
        <v>1</v>
      </c>
      <c r="K72" t="str">
        <f t="shared" si="1"/>
        <v>ala122002</v>
      </c>
      <c r="L72">
        <f>VLOOKUP(K72,BheightCalcs!I$1:M$429, 5, FALSE)</f>
        <v>6.3231499999999983</v>
      </c>
      <c r="M72">
        <f>VLOOKUP(A72, BheightCalcs!P$1:S$39, 4, FALSE)</f>
        <v>13</v>
      </c>
    </row>
    <row r="73" spans="1:13" x14ac:dyDescent="0.2">
      <c r="A73" t="s">
        <v>26</v>
      </c>
      <c r="B73">
        <v>2002</v>
      </c>
      <c r="C73" t="s">
        <v>11</v>
      </c>
      <c r="D73" t="s">
        <v>12</v>
      </c>
      <c r="E73" t="s">
        <v>28</v>
      </c>
      <c r="F73">
        <v>33</v>
      </c>
      <c r="G73">
        <v>292</v>
      </c>
      <c r="H73" t="s">
        <v>14</v>
      </c>
      <c r="I73">
        <v>13.5</v>
      </c>
      <c r="J73" t="b">
        <v>1</v>
      </c>
      <c r="K73" t="str">
        <f t="shared" si="1"/>
        <v>ala122002</v>
      </c>
      <c r="L73">
        <f>VLOOKUP(K73,BheightCalcs!I$1:M$429, 5, FALSE)</f>
        <v>6.3231499999999983</v>
      </c>
      <c r="M73">
        <f>VLOOKUP(A73, BheightCalcs!P$1:S$39, 4, FALSE)</f>
        <v>13</v>
      </c>
    </row>
    <row r="74" spans="1:13" x14ac:dyDescent="0.2">
      <c r="A74" t="s">
        <v>26</v>
      </c>
      <c r="B74">
        <v>2003</v>
      </c>
      <c r="C74" t="s">
        <v>11</v>
      </c>
      <c r="D74" t="s">
        <v>15</v>
      </c>
      <c r="E74" t="s">
        <v>27</v>
      </c>
      <c r="F74">
        <v>29</v>
      </c>
      <c r="G74">
        <v>254</v>
      </c>
      <c r="H74" t="s">
        <v>14</v>
      </c>
      <c r="I74">
        <v>13.5</v>
      </c>
      <c r="J74" t="b">
        <v>1</v>
      </c>
      <c r="K74" t="str">
        <f t="shared" si="1"/>
        <v>ala122003</v>
      </c>
      <c r="L74">
        <f>VLOOKUP(K74,BheightCalcs!I$1:M$429, 5, FALSE)</f>
        <v>7.4784999999999986</v>
      </c>
      <c r="M74">
        <f>VLOOKUP(A74, BheightCalcs!P$1:S$39, 4, FALSE)</f>
        <v>13</v>
      </c>
    </row>
    <row r="75" spans="1:13" x14ac:dyDescent="0.2">
      <c r="A75" t="s">
        <v>26</v>
      </c>
      <c r="B75">
        <v>2003</v>
      </c>
      <c r="C75" t="s">
        <v>11</v>
      </c>
      <c r="D75" t="s">
        <v>12</v>
      </c>
      <c r="E75" t="s">
        <v>28</v>
      </c>
      <c r="F75">
        <v>29</v>
      </c>
      <c r="G75">
        <v>254</v>
      </c>
      <c r="H75" t="s">
        <v>14</v>
      </c>
      <c r="I75">
        <v>13.5</v>
      </c>
      <c r="J75" t="b">
        <v>1</v>
      </c>
      <c r="K75" t="str">
        <f t="shared" si="1"/>
        <v>ala122003</v>
      </c>
      <c r="L75">
        <f>VLOOKUP(K75,BheightCalcs!I$1:M$429, 5, FALSE)</f>
        <v>7.4784999999999986</v>
      </c>
      <c r="M75">
        <f>VLOOKUP(A75, BheightCalcs!P$1:S$39, 4, FALSE)</f>
        <v>13</v>
      </c>
    </row>
    <row r="76" spans="1:13" x14ac:dyDescent="0.2">
      <c r="A76" t="s">
        <v>26</v>
      </c>
      <c r="B76">
        <v>2004</v>
      </c>
      <c r="C76" t="s">
        <v>11</v>
      </c>
      <c r="D76" t="s">
        <v>15</v>
      </c>
      <c r="E76" t="s">
        <v>27</v>
      </c>
      <c r="F76">
        <v>42</v>
      </c>
      <c r="G76">
        <v>278</v>
      </c>
      <c r="H76" t="s">
        <v>14</v>
      </c>
      <c r="I76">
        <v>13.5</v>
      </c>
      <c r="J76" t="b">
        <v>1</v>
      </c>
      <c r="K76" t="str">
        <f t="shared" si="1"/>
        <v>ala122004</v>
      </c>
      <c r="L76">
        <f>VLOOKUP(K76,BheightCalcs!I$1:M$429, 5, FALSE)</f>
        <v>8.3815999999999988</v>
      </c>
      <c r="M76">
        <f>VLOOKUP(A76, BheightCalcs!P$1:S$39, 4, FALSE)</f>
        <v>13</v>
      </c>
    </row>
    <row r="77" spans="1:13" x14ac:dyDescent="0.2">
      <c r="A77" t="s">
        <v>26</v>
      </c>
      <c r="B77">
        <v>2004</v>
      </c>
      <c r="C77" t="s">
        <v>11</v>
      </c>
      <c r="D77" t="s">
        <v>12</v>
      </c>
      <c r="E77" t="s">
        <v>28</v>
      </c>
      <c r="F77">
        <v>42</v>
      </c>
      <c r="G77">
        <v>278</v>
      </c>
      <c r="H77" t="s">
        <v>14</v>
      </c>
      <c r="I77">
        <v>13.5</v>
      </c>
      <c r="J77" t="b">
        <v>1</v>
      </c>
      <c r="K77" t="str">
        <f t="shared" si="1"/>
        <v>ala122004</v>
      </c>
      <c r="L77">
        <f>VLOOKUP(K77,BheightCalcs!I$1:M$429, 5, FALSE)</f>
        <v>8.3815999999999988</v>
      </c>
      <c r="M77">
        <f>VLOOKUP(A77, BheightCalcs!P$1:S$39, 4, FALSE)</f>
        <v>13</v>
      </c>
    </row>
    <row r="78" spans="1:13" x14ac:dyDescent="0.2">
      <c r="A78" t="s">
        <v>26</v>
      </c>
      <c r="B78">
        <v>2005</v>
      </c>
      <c r="C78" t="s">
        <v>11</v>
      </c>
      <c r="D78" t="s">
        <v>12</v>
      </c>
      <c r="E78" t="s">
        <v>28</v>
      </c>
      <c r="F78">
        <v>38</v>
      </c>
      <c r="G78">
        <v>303</v>
      </c>
      <c r="H78" t="s">
        <v>14</v>
      </c>
      <c r="I78">
        <v>13.5</v>
      </c>
      <c r="J78" t="b">
        <v>1</v>
      </c>
      <c r="K78" t="str">
        <f t="shared" si="1"/>
        <v>ala122005</v>
      </c>
      <c r="L78">
        <f>VLOOKUP(K78,BheightCalcs!I$1:M$429, 5, FALSE)</f>
        <v>9.3754999999999988</v>
      </c>
      <c r="M78">
        <f>VLOOKUP(A78, BheightCalcs!P$1:S$39, 4, FALSE)</f>
        <v>13</v>
      </c>
    </row>
    <row r="79" spans="1:13" x14ac:dyDescent="0.2">
      <c r="A79" t="s">
        <v>26</v>
      </c>
      <c r="B79">
        <v>2005</v>
      </c>
      <c r="C79" t="s">
        <v>11</v>
      </c>
      <c r="D79" t="s">
        <v>15</v>
      </c>
      <c r="E79" t="s">
        <v>27</v>
      </c>
      <c r="F79">
        <v>38</v>
      </c>
      <c r="G79">
        <v>303</v>
      </c>
      <c r="H79" t="s">
        <v>14</v>
      </c>
      <c r="I79">
        <v>13.5</v>
      </c>
      <c r="J79" t="b">
        <v>1</v>
      </c>
      <c r="K79" t="str">
        <f t="shared" si="1"/>
        <v>ala122005</v>
      </c>
      <c r="L79">
        <f>VLOOKUP(K79,BheightCalcs!I$1:M$429, 5, FALSE)</f>
        <v>9.3754999999999988</v>
      </c>
      <c r="M79">
        <f>VLOOKUP(A79, BheightCalcs!P$1:S$39, 4, FALSE)</f>
        <v>13</v>
      </c>
    </row>
    <row r="80" spans="1:13" x14ac:dyDescent="0.2">
      <c r="A80" t="s">
        <v>26</v>
      </c>
      <c r="B80">
        <v>2006</v>
      </c>
      <c r="C80" t="s">
        <v>11</v>
      </c>
      <c r="D80" t="s">
        <v>15</v>
      </c>
      <c r="E80" t="s">
        <v>27</v>
      </c>
      <c r="F80">
        <v>25</v>
      </c>
      <c r="G80">
        <v>294</v>
      </c>
      <c r="H80" t="s">
        <v>14</v>
      </c>
      <c r="I80">
        <v>13.5</v>
      </c>
      <c r="J80" t="b">
        <v>1</v>
      </c>
      <c r="K80" t="str">
        <f t="shared" si="1"/>
        <v>ala122006</v>
      </c>
      <c r="L80">
        <f>VLOOKUP(K80,BheightCalcs!I$1:M$429, 5, FALSE)</f>
        <v>10.25085</v>
      </c>
      <c r="M80">
        <f>VLOOKUP(A80, BheightCalcs!P$1:S$39, 4, FALSE)</f>
        <v>13</v>
      </c>
    </row>
    <row r="81" spans="1:13" x14ac:dyDescent="0.2">
      <c r="A81" t="s">
        <v>26</v>
      </c>
      <c r="B81">
        <v>2006</v>
      </c>
      <c r="C81" t="s">
        <v>11</v>
      </c>
      <c r="D81" t="s">
        <v>12</v>
      </c>
      <c r="E81" t="s">
        <v>28</v>
      </c>
      <c r="F81">
        <v>25</v>
      </c>
      <c r="G81">
        <v>294</v>
      </c>
      <c r="H81" t="s">
        <v>14</v>
      </c>
      <c r="I81">
        <v>13.5</v>
      </c>
      <c r="J81" t="b">
        <v>1</v>
      </c>
      <c r="K81" t="str">
        <f t="shared" si="1"/>
        <v>ala122006</v>
      </c>
      <c r="L81">
        <f>VLOOKUP(K81,BheightCalcs!I$1:M$429, 5, FALSE)</f>
        <v>10.25085</v>
      </c>
      <c r="M81">
        <f>VLOOKUP(A81, BheightCalcs!P$1:S$39, 4, FALSE)</f>
        <v>13</v>
      </c>
    </row>
    <row r="82" spans="1:13" x14ac:dyDescent="0.2">
      <c r="A82" t="s">
        <v>26</v>
      </c>
      <c r="B82">
        <v>2007</v>
      </c>
      <c r="C82" t="s">
        <v>11</v>
      </c>
      <c r="D82" t="s">
        <v>12</v>
      </c>
      <c r="E82" t="s">
        <v>28</v>
      </c>
      <c r="F82">
        <v>66</v>
      </c>
      <c r="G82">
        <v>286</v>
      </c>
      <c r="H82" t="s">
        <v>14</v>
      </c>
      <c r="I82">
        <v>13.5</v>
      </c>
      <c r="J82" t="b">
        <v>1</v>
      </c>
      <c r="K82" t="str">
        <f t="shared" si="1"/>
        <v>ala122007</v>
      </c>
      <c r="L82">
        <f>VLOOKUP(K82,BheightCalcs!I$1:M$429, 5, FALSE)</f>
        <v>10.7705</v>
      </c>
      <c r="M82">
        <f>VLOOKUP(A82, BheightCalcs!P$1:S$39, 4, FALSE)</f>
        <v>13</v>
      </c>
    </row>
    <row r="83" spans="1:13" x14ac:dyDescent="0.2">
      <c r="A83" t="s">
        <v>26</v>
      </c>
      <c r="B83">
        <v>2007</v>
      </c>
      <c r="C83" t="s">
        <v>11</v>
      </c>
      <c r="D83" t="s">
        <v>15</v>
      </c>
      <c r="E83" t="s">
        <v>27</v>
      </c>
      <c r="F83">
        <v>66</v>
      </c>
      <c r="G83">
        <v>286</v>
      </c>
      <c r="H83" t="s">
        <v>14</v>
      </c>
      <c r="I83">
        <v>13.5</v>
      </c>
      <c r="J83" t="b">
        <v>1</v>
      </c>
      <c r="K83" t="str">
        <f t="shared" si="1"/>
        <v>ala122007</v>
      </c>
      <c r="L83">
        <f>VLOOKUP(K83,BheightCalcs!I$1:M$429, 5, FALSE)</f>
        <v>10.7705</v>
      </c>
      <c r="M83">
        <f>VLOOKUP(A83, BheightCalcs!P$1:S$39, 4, FALSE)</f>
        <v>13</v>
      </c>
    </row>
    <row r="84" spans="1:13" x14ac:dyDescent="0.2">
      <c r="A84" t="s">
        <v>26</v>
      </c>
      <c r="B84">
        <v>2008</v>
      </c>
      <c r="C84" t="s">
        <v>11</v>
      </c>
      <c r="D84" t="s">
        <v>15</v>
      </c>
      <c r="E84" t="s">
        <v>27</v>
      </c>
      <c r="F84">
        <v>53</v>
      </c>
      <c r="G84">
        <v>299</v>
      </c>
      <c r="H84" t="s">
        <v>14</v>
      </c>
      <c r="I84">
        <v>13.5</v>
      </c>
      <c r="J84" t="b">
        <v>1</v>
      </c>
      <c r="K84" t="str">
        <f t="shared" si="1"/>
        <v>ala122008</v>
      </c>
      <c r="L84">
        <f>VLOOKUP(K84,BheightCalcs!I$1:M$429, 5, FALSE)</f>
        <v>11.19685</v>
      </c>
      <c r="M84">
        <f>VLOOKUP(A84, BheightCalcs!P$1:S$39, 4, FALSE)</f>
        <v>13</v>
      </c>
    </row>
    <row r="85" spans="1:13" x14ac:dyDescent="0.2">
      <c r="A85" t="s">
        <v>26</v>
      </c>
      <c r="B85">
        <v>2008</v>
      </c>
      <c r="C85" t="s">
        <v>11</v>
      </c>
      <c r="D85" t="s">
        <v>12</v>
      </c>
      <c r="E85" t="s">
        <v>28</v>
      </c>
      <c r="F85">
        <v>53</v>
      </c>
      <c r="G85">
        <v>299</v>
      </c>
      <c r="H85" t="s">
        <v>14</v>
      </c>
      <c r="I85">
        <v>13.5</v>
      </c>
      <c r="J85" t="b">
        <v>1</v>
      </c>
      <c r="K85" t="str">
        <f t="shared" si="1"/>
        <v>ala122008</v>
      </c>
      <c r="L85">
        <f>VLOOKUP(K85,BheightCalcs!I$1:M$429, 5, FALSE)</f>
        <v>11.19685</v>
      </c>
      <c r="M85">
        <f>VLOOKUP(A85, BheightCalcs!P$1:S$39, 4, FALSE)</f>
        <v>13</v>
      </c>
    </row>
    <row r="86" spans="1:13" x14ac:dyDescent="0.2">
      <c r="A86" t="s">
        <v>26</v>
      </c>
      <c r="B86">
        <v>2009</v>
      </c>
      <c r="C86" t="s">
        <v>11</v>
      </c>
      <c r="D86" t="s">
        <v>12</v>
      </c>
      <c r="E86" t="s">
        <v>28</v>
      </c>
      <c r="F86">
        <v>44</v>
      </c>
      <c r="G86">
        <v>288</v>
      </c>
      <c r="H86" t="s">
        <v>14</v>
      </c>
      <c r="I86">
        <v>13.5</v>
      </c>
      <c r="J86" t="b">
        <v>1</v>
      </c>
      <c r="K86" t="str">
        <f t="shared" si="1"/>
        <v>ala122009</v>
      </c>
      <c r="L86">
        <f>VLOOKUP(K86,BheightCalcs!I$1:M$429, 5, FALSE)</f>
        <v>11.582849999999999</v>
      </c>
      <c r="M86">
        <f>VLOOKUP(A86, BheightCalcs!P$1:S$39, 4, FALSE)</f>
        <v>13</v>
      </c>
    </row>
    <row r="87" spans="1:13" x14ac:dyDescent="0.2">
      <c r="A87" t="s">
        <v>26</v>
      </c>
      <c r="B87">
        <v>2009</v>
      </c>
      <c r="C87" t="s">
        <v>11</v>
      </c>
      <c r="D87" t="s">
        <v>15</v>
      </c>
      <c r="E87" t="s">
        <v>27</v>
      </c>
      <c r="F87">
        <v>44</v>
      </c>
      <c r="G87">
        <v>288</v>
      </c>
      <c r="H87" t="s">
        <v>14</v>
      </c>
      <c r="I87">
        <v>13.5</v>
      </c>
      <c r="J87" t="b">
        <v>1</v>
      </c>
      <c r="K87" t="str">
        <f t="shared" si="1"/>
        <v>ala122009</v>
      </c>
      <c r="L87">
        <f>VLOOKUP(K87,BheightCalcs!I$1:M$429, 5, FALSE)</f>
        <v>11.582849999999999</v>
      </c>
      <c r="M87">
        <f>VLOOKUP(A87, BheightCalcs!P$1:S$39, 4, FALSE)</f>
        <v>13</v>
      </c>
    </row>
    <row r="88" spans="1:13" x14ac:dyDescent="0.2">
      <c r="A88" t="s">
        <v>26</v>
      </c>
      <c r="B88">
        <v>2010</v>
      </c>
      <c r="C88" t="s">
        <v>11</v>
      </c>
      <c r="D88" t="s">
        <v>12</v>
      </c>
      <c r="E88" t="s">
        <v>28</v>
      </c>
      <c r="F88">
        <v>40</v>
      </c>
      <c r="G88">
        <v>282</v>
      </c>
      <c r="H88" t="s">
        <v>14</v>
      </c>
      <c r="I88">
        <v>13.5</v>
      </c>
      <c r="J88" t="b">
        <v>1</v>
      </c>
      <c r="K88" t="str">
        <f t="shared" si="1"/>
        <v>ala122010</v>
      </c>
      <c r="L88">
        <f>VLOOKUP(K88,BheightCalcs!I$1:M$429, 5, FALSE)</f>
        <v>12.160499999999999</v>
      </c>
      <c r="M88">
        <f>VLOOKUP(A88, BheightCalcs!P$1:S$39, 4, FALSE)</f>
        <v>13</v>
      </c>
    </row>
    <row r="89" spans="1:13" x14ac:dyDescent="0.2">
      <c r="A89" t="s">
        <v>26</v>
      </c>
      <c r="B89">
        <v>2010</v>
      </c>
      <c r="C89" t="s">
        <v>11</v>
      </c>
      <c r="D89" t="s">
        <v>15</v>
      </c>
      <c r="E89" t="s">
        <v>27</v>
      </c>
      <c r="F89">
        <v>40</v>
      </c>
      <c r="G89">
        <v>282</v>
      </c>
      <c r="H89" t="s">
        <v>14</v>
      </c>
      <c r="I89">
        <v>13.5</v>
      </c>
      <c r="J89" t="b">
        <v>1</v>
      </c>
      <c r="K89" t="str">
        <f t="shared" si="1"/>
        <v>ala122010</v>
      </c>
      <c r="L89">
        <f>VLOOKUP(K89,BheightCalcs!I$1:M$429, 5, FALSE)</f>
        <v>12.160499999999999</v>
      </c>
      <c r="M89">
        <f>VLOOKUP(A89, BheightCalcs!P$1:S$39, 4, FALSE)</f>
        <v>13</v>
      </c>
    </row>
    <row r="90" spans="1:13" x14ac:dyDescent="0.2">
      <c r="A90" t="s">
        <v>26</v>
      </c>
      <c r="B90">
        <v>2011</v>
      </c>
      <c r="C90" t="s">
        <v>11</v>
      </c>
      <c r="D90" t="s">
        <v>15</v>
      </c>
      <c r="E90" t="s">
        <v>27</v>
      </c>
      <c r="F90">
        <v>66</v>
      </c>
      <c r="G90">
        <v>284</v>
      </c>
      <c r="H90" t="s">
        <v>14</v>
      </c>
      <c r="I90">
        <v>13.5</v>
      </c>
      <c r="J90" t="b">
        <v>1</v>
      </c>
      <c r="K90" t="str">
        <f t="shared" si="1"/>
        <v>ala122011</v>
      </c>
      <c r="L90">
        <f>VLOOKUP(K90,BheightCalcs!I$1:M$429, 5, FALSE)</f>
        <v>12.45055</v>
      </c>
      <c r="M90">
        <f>VLOOKUP(A90, BheightCalcs!P$1:S$39, 4, FALSE)</f>
        <v>13</v>
      </c>
    </row>
    <row r="91" spans="1:13" x14ac:dyDescent="0.2">
      <c r="A91" t="s">
        <v>26</v>
      </c>
      <c r="B91">
        <v>2011</v>
      </c>
      <c r="C91" t="s">
        <v>11</v>
      </c>
      <c r="D91" t="s">
        <v>12</v>
      </c>
      <c r="E91" t="s">
        <v>28</v>
      </c>
      <c r="F91">
        <v>66</v>
      </c>
      <c r="G91">
        <v>284</v>
      </c>
      <c r="H91" t="s">
        <v>14</v>
      </c>
      <c r="I91">
        <v>13.5</v>
      </c>
      <c r="J91" t="b">
        <v>1</v>
      </c>
      <c r="K91" t="str">
        <f t="shared" si="1"/>
        <v>ala122011</v>
      </c>
      <c r="L91">
        <f>VLOOKUP(K91,BheightCalcs!I$1:M$429, 5, FALSE)</f>
        <v>12.45055</v>
      </c>
      <c r="M91">
        <f>VLOOKUP(A91, BheightCalcs!P$1:S$39, 4, FALSE)</f>
        <v>13</v>
      </c>
    </row>
    <row r="92" spans="1:13" x14ac:dyDescent="0.2">
      <c r="A92" t="s">
        <v>26</v>
      </c>
      <c r="B92">
        <v>2012</v>
      </c>
      <c r="C92" t="s">
        <v>11</v>
      </c>
      <c r="D92" t="s">
        <v>12</v>
      </c>
      <c r="E92" t="s">
        <v>28</v>
      </c>
      <c r="F92">
        <v>80</v>
      </c>
      <c r="G92">
        <v>303</v>
      </c>
      <c r="H92" t="s">
        <v>14</v>
      </c>
      <c r="I92">
        <v>13.5</v>
      </c>
      <c r="J92" t="b">
        <v>1</v>
      </c>
      <c r="K92" t="str">
        <f t="shared" si="1"/>
        <v>ala122012</v>
      </c>
      <c r="L92">
        <f>VLOOKUP(K92,BheightCalcs!I$1:M$429, 5, FALSE)</f>
        <v>12.894600000000001</v>
      </c>
      <c r="M92">
        <f>VLOOKUP(A92, BheightCalcs!P$1:S$39, 4, FALSE)</f>
        <v>13</v>
      </c>
    </row>
    <row r="93" spans="1:13" x14ac:dyDescent="0.2">
      <c r="A93" t="s">
        <v>26</v>
      </c>
      <c r="B93">
        <v>2012</v>
      </c>
      <c r="C93" t="s">
        <v>11</v>
      </c>
      <c r="D93" t="s">
        <v>15</v>
      </c>
      <c r="E93" t="s">
        <v>27</v>
      </c>
      <c r="F93">
        <v>80</v>
      </c>
      <c r="G93">
        <v>303</v>
      </c>
      <c r="H93" t="s">
        <v>14</v>
      </c>
      <c r="I93">
        <v>13.5</v>
      </c>
      <c r="J93" t="b">
        <v>1</v>
      </c>
      <c r="K93" t="str">
        <f t="shared" si="1"/>
        <v>ala122012</v>
      </c>
      <c r="L93">
        <f>VLOOKUP(K93,BheightCalcs!I$1:M$429, 5, FALSE)</f>
        <v>12.894600000000001</v>
      </c>
      <c r="M93">
        <f>VLOOKUP(A93, BheightCalcs!P$1:S$39, 4, FALSE)</f>
        <v>13</v>
      </c>
    </row>
    <row r="94" spans="1:13" x14ac:dyDescent="0.2">
      <c r="A94" t="s">
        <v>26</v>
      </c>
      <c r="B94">
        <v>2013</v>
      </c>
      <c r="C94" t="s">
        <v>11</v>
      </c>
      <c r="D94" t="s">
        <v>15</v>
      </c>
      <c r="E94" t="s">
        <v>27</v>
      </c>
      <c r="F94">
        <v>40</v>
      </c>
      <c r="G94">
        <v>257</v>
      </c>
      <c r="H94" t="s">
        <v>14</v>
      </c>
      <c r="I94">
        <v>13.5</v>
      </c>
      <c r="J94" t="b">
        <v>1</v>
      </c>
      <c r="K94" t="str">
        <f t="shared" si="1"/>
        <v>ala122013</v>
      </c>
      <c r="L94">
        <f>VLOOKUP(K94,BheightCalcs!I$1:M$429, 5, FALSE)</f>
        <v>13.5</v>
      </c>
      <c r="M94">
        <f>VLOOKUP(A94, BheightCalcs!P$1:S$39, 4, FALSE)</f>
        <v>13</v>
      </c>
    </row>
    <row r="95" spans="1:13" x14ac:dyDescent="0.2">
      <c r="A95" t="s">
        <v>26</v>
      </c>
      <c r="B95">
        <v>2013</v>
      </c>
      <c r="C95" t="s">
        <v>11</v>
      </c>
      <c r="D95" t="s">
        <v>12</v>
      </c>
      <c r="E95" t="s">
        <v>28</v>
      </c>
      <c r="F95">
        <v>40</v>
      </c>
      <c r="G95">
        <v>257</v>
      </c>
      <c r="H95" t="s">
        <v>14</v>
      </c>
      <c r="I95">
        <v>13.5</v>
      </c>
      <c r="J95" t="b">
        <v>1</v>
      </c>
      <c r="K95" t="str">
        <f t="shared" si="1"/>
        <v>ala122013</v>
      </c>
      <c r="L95">
        <f>VLOOKUP(K95,BheightCalcs!I$1:M$429, 5, FALSE)</f>
        <v>13.5</v>
      </c>
      <c r="M95">
        <f>VLOOKUP(A95, BheightCalcs!P$1:S$39, 4, FALSE)</f>
        <v>13</v>
      </c>
    </row>
    <row r="96" spans="1:13" x14ac:dyDescent="0.2">
      <c r="A96" t="s">
        <v>29</v>
      </c>
      <c r="B96">
        <v>2010</v>
      </c>
      <c r="C96" t="s">
        <v>11</v>
      </c>
      <c r="D96" t="s">
        <v>15</v>
      </c>
      <c r="E96" t="s">
        <v>31</v>
      </c>
      <c r="F96">
        <v>40</v>
      </c>
      <c r="G96">
        <v>282</v>
      </c>
      <c r="H96" t="s">
        <v>14</v>
      </c>
      <c r="I96">
        <v>6</v>
      </c>
      <c r="J96" t="b">
        <v>1</v>
      </c>
      <c r="K96" t="str">
        <f t="shared" si="1"/>
        <v>ala142010</v>
      </c>
      <c r="L96">
        <f>VLOOKUP(K96,BheightCalcs!I$1:M$429, 5, FALSE)</f>
        <v>3.1520000000000001</v>
      </c>
      <c r="M96">
        <f>VLOOKUP(A96, BheightCalcs!P$1:S$39, 4, FALSE)</f>
        <v>3</v>
      </c>
    </row>
    <row r="97" spans="1:13" x14ac:dyDescent="0.2">
      <c r="A97" t="s">
        <v>29</v>
      </c>
      <c r="B97">
        <v>2010</v>
      </c>
      <c r="C97" t="s">
        <v>11</v>
      </c>
      <c r="D97" t="s">
        <v>12</v>
      </c>
      <c r="E97" t="s">
        <v>30</v>
      </c>
      <c r="F97">
        <v>40</v>
      </c>
      <c r="G97">
        <v>282</v>
      </c>
      <c r="H97" t="s">
        <v>14</v>
      </c>
      <c r="I97">
        <v>6</v>
      </c>
      <c r="J97" t="b">
        <v>1</v>
      </c>
      <c r="K97" t="str">
        <f t="shared" si="1"/>
        <v>ala142010</v>
      </c>
      <c r="L97">
        <f>VLOOKUP(K97,BheightCalcs!I$1:M$429, 5, FALSE)</f>
        <v>3.1520000000000001</v>
      </c>
      <c r="M97">
        <f>VLOOKUP(A97, BheightCalcs!P$1:S$39, 4, FALSE)</f>
        <v>3</v>
      </c>
    </row>
    <row r="98" spans="1:13" x14ac:dyDescent="0.2">
      <c r="A98" t="s">
        <v>29</v>
      </c>
      <c r="B98">
        <v>2011</v>
      </c>
      <c r="C98" t="s">
        <v>11</v>
      </c>
      <c r="D98" t="s">
        <v>12</v>
      </c>
      <c r="E98" t="s">
        <v>30</v>
      </c>
      <c r="F98">
        <v>66</v>
      </c>
      <c r="G98">
        <v>284</v>
      </c>
      <c r="H98" t="s">
        <v>14</v>
      </c>
      <c r="I98">
        <v>6</v>
      </c>
      <c r="J98" t="b">
        <v>1</v>
      </c>
      <c r="K98" t="str">
        <f t="shared" si="1"/>
        <v>ala142011</v>
      </c>
      <c r="L98">
        <f>VLOOKUP(K98,BheightCalcs!I$1:M$429, 5, FALSE)</f>
        <v>3.9062500000000004</v>
      </c>
      <c r="M98">
        <f>VLOOKUP(A98, BheightCalcs!P$1:S$39, 4, FALSE)</f>
        <v>3</v>
      </c>
    </row>
    <row r="99" spans="1:13" x14ac:dyDescent="0.2">
      <c r="A99" t="s">
        <v>29</v>
      </c>
      <c r="B99">
        <v>2011</v>
      </c>
      <c r="C99" t="s">
        <v>11</v>
      </c>
      <c r="D99" t="s">
        <v>15</v>
      </c>
      <c r="E99" t="s">
        <v>31</v>
      </c>
      <c r="F99">
        <v>66</v>
      </c>
      <c r="G99">
        <v>284</v>
      </c>
      <c r="H99" t="s">
        <v>14</v>
      </c>
      <c r="I99">
        <v>6</v>
      </c>
      <c r="J99" t="b">
        <v>1</v>
      </c>
      <c r="K99" t="str">
        <f t="shared" si="1"/>
        <v>ala142011</v>
      </c>
      <c r="L99">
        <f>VLOOKUP(K99,BheightCalcs!I$1:M$429, 5, FALSE)</f>
        <v>3.9062500000000004</v>
      </c>
      <c r="M99">
        <f>VLOOKUP(A99, BheightCalcs!P$1:S$39, 4, FALSE)</f>
        <v>3</v>
      </c>
    </row>
    <row r="100" spans="1:13" x14ac:dyDescent="0.2">
      <c r="A100" t="s">
        <v>29</v>
      </c>
      <c r="B100">
        <v>2012</v>
      </c>
      <c r="C100" t="s">
        <v>11</v>
      </c>
      <c r="D100" t="s">
        <v>12</v>
      </c>
      <c r="E100" t="s">
        <v>30</v>
      </c>
      <c r="F100">
        <v>80</v>
      </c>
      <c r="G100">
        <v>303</v>
      </c>
      <c r="H100" t="s">
        <v>14</v>
      </c>
      <c r="I100">
        <v>6</v>
      </c>
      <c r="J100" t="b">
        <v>1</v>
      </c>
      <c r="K100" t="str">
        <f t="shared" si="1"/>
        <v>ala142012</v>
      </c>
      <c r="L100">
        <f>VLOOKUP(K100,BheightCalcs!I$1:M$429, 5, FALSE)</f>
        <v>4.8573000000000004</v>
      </c>
      <c r="M100">
        <f>VLOOKUP(A100, BheightCalcs!P$1:S$39, 4, FALSE)</f>
        <v>3</v>
      </c>
    </row>
    <row r="101" spans="1:13" x14ac:dyDescent="0.2">
      <c r="A101" t="s">
        <v>29</v>
      </c>
      <c r="B101">
        <v>2012</v>
      </c>
      <c r="C101" t="s">
        <v>11</v>
      </c>
      <c r="D101" t="s">
        <v>15</v>
      </c>
      <c r="E101" t="s">
        <v>31</v>
      </c>
      <c r="F101">
        <v>80</v>
      </c>
      <c r="G101">
        <v>303</v>
      </c>
      <c r="H101" t="s">
        <v>14</v>
      </c>
      <c r="I101">
        <v>6</v>
      </c>
      <c r="J101" t="b">
        <v>1</v>
      </c>
      <c r="K101" t="str">
        <f t="shared" si="1"/>
        <v>ala142012</v>
      </c>
      <c r="L101">
        <f>VLOOKUP(K101,BheightCalcs!I$1:M$429, 5, FALSE)</f>
        <v>4.8573000000000004</v>
      </c>
      <c r="M101">
        <f>VLOOKUP(A101, BheightCalcs!P$1:S$39, 4, FALSE)</f>
        <v>3</v>
      </c>
    </row>
    <row r="102" spans="1:13" x14ac:dyDescent="0.2">
      <c r="A102" t="s">
        <v>29</v>
      </c>
      <c r="B102">
        <v>2013</v>
      </c>
      <c r="C102" t="s">
        <v>11</v>
      </c>
      <c r="D102" t="s">
        <v>15</v>
      </c>
      <c r="E102" t="s">
        <v>31</v>
      </c>
      <c r="F102">
        <v>40</v>
      </c>
      <c r="G102">
        <v>257</v>
      </c>
      <c r="H102" t="s">
        <v>14</v>
      </c>
      <c r="I102">
        <v>6</v>
      </c>
      <c r="J102" t="b">
        <v>1</v>
      </c>
      <c r="K102" t="str">
        <f t="shared" si="1"/>
        <v>ala142013</v>
      </c>
      <c r="L102">
        <f>VLOOKUP(K102,BheightCalcs!I$1:M$429, 5, FALSE)</f>
        <v>6</v>
      </c>
      <c r="M102">
        <f>VLOOKUP(A102, BheightCalcs!P$1:S$39, 4, FALSE)</f>
        <v>3</v>
      </c>
    </row>
    <row r="103" spans="1:13" x14ac:dyDescent="0.2">
      <c r="A103" t="s">
        <v>29</v>
      </c>
      <c r="B103">
        <v>2013</v>
      </c>
      <c r="C103" t="s">
        <v>11</v>
      </c>
      <c r="D103" t="s">
        <v>12</v>
      </c>
      <c r="E103" t="s">
        <v>30</v>
      </c>
      <c r="F103">
        <v>40</v>
      </c>
      <c r="G103">
        <v>257</v>
      </c>
      <c r="H103" t="s">
        <v>14</v>
      </c>
      <c r="I103">
        <v>6</v>
      </c>
      <c r="J103" t="b">
        <v>1</v>
      </c>
      <c r="K103" t="str">
        <f t="shared" si="1"/>
        <v>ala142013</v>
      </c>
      <c r="L103">
        <f>VLOOKUP(K103,BheightCalcs!I$1:M$429, 5, FALSE)</f>
        <v>6</v>
      </c>
      <c r="M103">
        <f>VLOOKUP(A103, BheightCalcs!P$1:S$39, 4, FALSE)</f>
        <v>3</v>
      </c>
    </row>
    <row r="104" spans="1:13" x14ac:dyDescent="0.2">
      <c r="A104" t="s">
        <v>32</v>
      </c>
      <c r="B104">
        <v>2008</v>
      </c>
      <c r="C104" t="s">
        <v>11</v>
      </c>
      <c r="D104" t="s">
        <v>12</v>
      </c>
      <c r="E104" t="s">
        <v>33</v>
      </c>
      <c r="F104">
        <v>53</v>
      </c>
      <c r="G104">
        <v>299</v>
      </c>
      <c r="H104" t="s">
        <v>14</v>
      </c>
      <c r="I104">
        <v>5</v>
      </c>
      <c r="J104" t="b">
        <v>1</v>
      </c>
      <c r="K104" t="str">
        <f t="shared" si="1"/>
        <v>ala212008</v>
      </c>
      <c r="L104">
        <f>VLOOKUP(K104,BheightCalcs!I$1:M$429, 5, FALSE)</f>
        <v>1.9788499999999998</v>
      </c>
      <c r="M104">
        <f>VLOOKUP(A104, BheightCalcs!P$1:S$39, 4, FALSE)</f>
        <v>5</v>
      </c>
    </row>
    <row r="105" spans="1:13" x14ac:dyDescent="0.2">
      <c r="A105" t="s">
        <v>32</v>
      </c>
      <c r="B105">
        <v>2008</v>
      </c>
      <c r="C105" t="s">
        <v>11</v>
      </c>
      <c r="D105" t="s">
        <v>15</v>
      </c>
      <c r="E105" t="s">
        <v>34</v>
      </c>
      <c r="F105">
        <v>53</v>
      </c>
      <c r="G105">
        <v>299</v>
      </c>
      <c r="H105" t="s">
        <v>14</v>
      </c>
      <c r="I105">
        <v>5</v>
      </c>
      <c r="J105" t="b">
        <v>1</v>
      </c>
      <c r="K105" t="str">
        <f t="shared" si="1"/>
        <v>ala212008</v>
      </c>
      <c r="L105">
        <f>VLOOKUP(K105,BheightCalcs!I$1:M$429, 5, FALSE)</f>
        <v>1.9788499999999998</v>
      </c>
      <c r="M105">
        <f>VLOOKUP(A105, BheightCalcs!P$1:S$39, 4, FALSE)</f>
        <v>5</v>
      </c>
    </row>
    <row r="106" spans="1:13" x14ac:dyDescent="0.2">
      <c r="A106" t="s">
        <v>32</v>
      </c>
      <c r="B106">
        <v>2009</v>
      </c>
      <c r="C106" t="s">
        <v>11</v>
      </c>
      <c r="D106" t="s">
        <v>15</v>
      </c>
      <c r="E106" t="s">
        <v>34</v>
      </c>
      <c r="F106">
        <v>44</v>
      </c>
      <c r="G106">
        <v>288</v>
      </c>
      <c r="H106" t="s">
        <v>14</v>
      </c>
      <c r="I106">
        <v>5</v>
      </c>
      <c r="J106" t="b">
        <v>1</v>
      </c>
      <c r="K106" t="str">
        <f t="shared" si="1"/>
        <v>ala212009</v>
      </c>
      <c r="L106">
        <f>VLOOKUP(K106,BheightCalcs!I$1:M$429, 5, FALSE)</f>
        <v>2.4560499999999998</v>
      </c>
      <c r="M106">
        <f>VLOOKUP(A106, BheightCalcs!P$1:S$39, 4, FALSE)</f>
        <v>5</v>
      </c>
    </row>
    <row r="107" spans="1:13" x14ac:dyDescent="0.2">
      <c r="A107" t="s">
        <v>32</v>
      </c>
      <c r="B107">
        <v>2009</v>
      </c>
      <c r="C107" t="s">
        <v>11</v>
      </c>
      <c r="D107" t="s">
        <v>12</v>
      </c>
      <c r="E107" t="s">
        <v>33</v>
      </c>
      <c r="F107">
        <v>44</v>
      </c>
      <c r="G107">
        <v>288</v>
      </c>
      <c r="H107" t="s">
        <v>14</v>
      </c>
      <c r="I107">
        <v>5</v>
      </c>
      <c r="J107" t="b">
        <v>1</v>
      </c>
      <c r="K107" t="str">
        <f t="shared" si="1"/>
        <v>ala212009</v>
      </c>
      <c r="L107">
        <f>VLOOKUP(K107,BheightCalcs!I$1:M$429, 5, FALSE)</f>
        <v>2.4560499999999998</v>
      </c>
      <c r="M107">
        <f>VLOOKUP(A107, BheightCalcs!P$1:S$39, 4, FALSE)</f>
        <v>5</v>
      </c>
    </row>
    <row r="108" spans="1:13" x14ac:dyDescent="0.2">
      <c r="A108" t="s">
        <v>32</v>
      </c>
      <c r="B108">
        <v>2010</v>
      </c>
      <c r="C108" t="s">
        <v>11</v>
      </c>
      <c r="D108" t="s">
        <v>12</v>
      </c>
      <c r="E108" t="s">
        <v>33</v>
      </c>
      <c r="F108">
        <v>40</v>
      </c>
      <c r="G108">
        <v>282</v>
      </c>
      <c r="H108" t="s">
        <v>14</v>
      </c>
      <c r="I108">
        <v>5</v>
      </c>
      <c r="J108" t="b">
        <v>1</v>
      </c>
      <c r="K108" t="str">
        <f t="shared" si="1"/>
        <v>ala212010</v>
      </c>
      <c r="L108">
        <f>VLOOKUP(K108,BheightCalcs!I$1:M$429, 5, FALSE)</f>
        <v>3.13645</v>
      </c>
      <c r="M108">
        <f>VLOOKUP(A108, BheightCalcs!P$1:S$39, 4, FALSE)</f>
        <v>5</v>
      </c>
    </row>
    <row r="109" spans="1:13" x14ac:dyDescent="0.2">
      <c r="A109" t="s">
        <v>32</v>
      </c>
      <c r="B109">
        <v>2010</v>
      </c>
      <c r="C109" t="s">
        <v>11</v>
      </c>
      <c r="D109" t="s">
        <v>15</v>
      </c>
      <c r="E109" t="s">
        <v>34</v>
      </c>
      <c r="F109">
        <v>40</v>
      </c>
      <c r="G109">
        <v>282</v>
      </c>
      <c r="H109" t="s">
        <v>14</v>
      </c>
      <c r="I109">
        <v>5</v>
      </c>
      <c r="J109" t="b">
        <v>1</v>
      </c>
      <c r="K109" t="str">
        <f t="shared" si="1"/>
        <v>ala212010</v>
      </c>
      <c r="L109">
        <f>VLOOKUP(K109,BheightCalcs!I$1:M$429, 5, FALSE)</f>
        <v>3.13645</v>
      </c>
      <c r="M109">
        <f>VLOOKUP(A109, BheightCalcs!P$1:S$39, 4, FALSE)</f>
        <v>5</v>
      </c>
    </row>
    <row r="110" spans="1:13" x14ac:dyDescent="0.2">
      <c r="A110" t="s">
        <v>32</v>
      </c>
      <c r="B110">
        <v>2011</v>
      </c>
      <c r="C110" t="s">
        <v>11</v>
      </c>
      <c r="D110" t="s">
        <v>12</v>
      </c>
      <c r="E110" t="s">
        <v>33</v>
      </c>
      <c r="F110">
        <v>66</v>
      </c>
      <c r="G110">
        <v>284</v>
      </c>
      <c r="H110" t="s">
        <v>14</v>
      </c>
      <c r="I110">
        <v>5</v>
      </c>
      <c r="J110" t="b">
        <v>1</v>
      </c>
      <c r="K110" t="str">
        <f t="shared" si="1"/>
        <v>ala212011</v>
      </c>
      <c r="L110">
        <f>VLOOKUP(K110,BheightCalcs!I$1:M$429, 5, FALSE)</f>
        <v>3.7719</v>
      </c>
      <c r="M110">
        <f>VLOOKUP(A110, BheightCalcs!P$1:S$39, 4, FALSE)</f>
        <v>5</v>
      </c>
    </row>
    <row r="111" spans="1:13" x14ac:dyDescent="0.2">
      <c r="A111" t="s">
        <v>32</v>
      </c>
      <c r="B111">
        <v>2011</v>
      </c>
      <c r="C111" t="s">
        <v>11</v>
      </c>
      <c r="D111" t="s">
        <v>15</v>
      </c>
      <c r="E111" t="s">
        <v>34</v>
      </c>
      <c r="F111">
        <v>66</v>
      </c>
      <c r="G111">
        <v>284</v>
      </c>
      <c r="H111" t="s">
        <v>14</v>
      </c>
      <c r="I111">
        <v>5</v>
      </c>
      <c r="J111" t="b">
        <v>1</v>
      </c>
      <c r="K111" t="str">
        <f t="shared" si="1"/>
        <v>ala212011</v>
      </c>
      <c r="L111">
        <f>VLOOKUP(K111,BheightCalcs!I$1:M$429, 5, FALSE)</f>
        <v>3.7719</v>
      </c>
      <c r="M111">
        <f>VLOOKUP(A111, BheightCalcs!P$1:S$39, 4, FALSE)</f>
        <v>5</v>
      </c>
    </row>
    <row r="112" spans="1:13" x14ac:dyDescent="0.2">
      <c r="A112" t="s">
        <v>32</v>
      </c>
      <c r="B112">
        <v>2012</v>
      </c>
      <c r="C112" t="s">
        <v>11</v>
      </c>
      <c r="D112" t="s">
        <v>12</v>
      </c>
      <c r="E112" t="s">
        <v>33</v>
      </c>
      <c r="F112">
        <v>80</v>
      </c>
      <c r="G112">
        <v>303</v>
      </c>
      <c r="H112" t="s">
        <v>14</v>
      </c>
      <c r="I112">
        <v>5</v>
      </c>
      <c r="J112" t="b">
        <v>1</v>
      </c>
      <c r="K112" t="str">
        <f t="shared" si="1"/>
        <v>ala212012</v>
      </c>
      <c r="L112">
        <f>VLOOKUP(K112,BheightCalcs!I$1:M$429, 5, FALSE)</f>
        <v>4.3494999999999999</v>
      </c>
      <c r="M112">
        <f>VLOOKUP(A112, BheightCalcs!P$1:S$39, 4, FALSE)</f>
        <v>5</v>
      </c>
    </row>
    <row r="113" spans="1:13" x14ac:dyDescent="0.2">
      <c r="A113" t="s">
        <v>32</v>
      </c>
      <c r="B113">
        <v>2012</v>
      </c>
      <c r="C113" t="s">
        <v>11</v>
      </c>
      <c r="D113" t="s">
        <v>15</v>
      </c>
      <c r="E113" t="s">
        <v>34</v>
      </c>
      <c r="F113">
        <v>80</v>
      </c>
      <c r="G113">
        <v>303</v>
      </c>
      <c r="H113" t="s">
        <v>14</v>
      </c>
      <c r="I113">
        <v>5</v>
      </c>
      <c r="J113" t="b">
        <v>1</v>
      </c>
      <c r="K113" t="str">
        <f t="shared" si="1"/>
        <v>ala212012</v>
      </c>
      <c r="L113">
        <f>VLOOKUP(K113,BheightCalcs!I$1:M$429, 5, FALSE)</f>
        <v>4.3494999999999999</v>
      </c>
      <c r="M113">
        <f>VLOOKUP(A113, BheightCalcs!P$1:S$39, 4, FALSE)</f>
        <v>5</v>
      </c>
    </row>
    <row r="114" spans="1:13" x14ac:dyDescent="0.2">
      <c r="A114" t="s">
        <v>32</v>
      </c>
      <c r="B114">
        <v>2013</v>
      </c>
      <c r="C114" t="s">
        <v>11</v>
      </c>
      <c r="D114" t="s">
        <v>12</v>
      </c>
      <c r="E114" t="s">
        <v>33</v>
      </c>
      <c r="F114">
        <v>40</v>
      </c>
      <c r="G114">
        <v>257</v>
      </c>
      <c r="H114" t="s">
        <v>14</v>
      </c>
      <c r="I114">
        <v>5</v>
      </c>
      <c r="J114" t="b">
        <v>1</v>
      </c>
      <c r="K114" t="str">
        <f t="shared" si="1"/>
        <v>ala212013</v>
      </c>
      <c r="L114">
        <f>VLOOKUP(K114,BheightCalcs!I$1:M$429, 5, FALSE)</f>
        <v>5</v>
      </c>
      <c r="M114">
        <f>VLOOKUP(A114, BheightCalcs!P$1:S$39, 4, FALSE)</f>
        <v>5</v>
      </c>
    </row>
    <row r="115" spans="1:13" x14ac:dyDescent="0.2">
      <c r="A115" t="s">
        <v>32</v>
      </c>
      <c r="B115">
        <v>2013</v>
      </c>
      <c r="C115" t="s">
        <v>11</v>
      </c>
      <c r="D115" t="s">
        <v>15</v>
      </c>
      <c r="E115" t="s">
        <v>34</v>
      </c>
      <c r="F115">
        <v>40</v>
      </c>
      <c r="G115">
        <v>257</v>
      </c>
      <c r="H115" t="s">
        <v>14</v>
      </c>
      <c r="I115">
        <v>5</v>
      </c>
      <c r="J115" t="b">
        <v>1</v>
      </c>
      <c r="K115" t="str">
        <f t="shared" si="1"/>
        <v>ala212013</v>
      </c>
      <c r="L115">
        <f>VLOOKUP(K115,BheightCalcs!I$1:M$429, 5, FALSE)</f>
        <v>5</v>
      </c>
      <c r="M115">
        <f>VLOOKUP(A115, BheightCalcs!P$1:S$39, 4, FALSE)</f>
        <v>5</v>
      </c>
    </row>
    <row r="116" spans="1:13" x14ac:dyDescent="0.2">
      <c r="A116" t="s">
        <v>35</v>
      </c>
      <c r="B116">
        <v>2004</v>
      </c>
      <c r="C116" t="s">
        <v>36</v>
      </c>
      <c r="D116" t="s">
        <v>12</v>
      </c>
      <c r="E116" t="s">
        <v>37</v>
      </c>
      <c r="F116">
        <v>49</v>
      </c>
      <c r="G116">
        <v>296</v>
      </c>
      <c r="H116" t="s">
        <v>7</v>
      </c>
      <c r="I116">
        <v>7</v>
      </c>
      <c r="J116" t="b">
        <v>1</v>
      </c>
      <c r="K116" t="str">
        <f t="shared" si="1"/>
        <v>del012004</v>
      </c>
      <c r="L116">
        <f>VLOOKUP(K116,BheightCalcs!I$1:M$429, 5, FALSE)</f>
        <v>1.9850500000000002</v>
      </c>
      <c r="M116">
        <f>VLOOKUP(A116, BheightCalcs!P$1:S$39, 4, FALSE)</f>
        <v>9</v>
      </c>
    </row>
    <row r="117" spans="1:13" x14ac:dyDescent="0.2">
      <c r="A117" t="s">
        <v>35</v>
      </c>
      <c r="B117">
        <v>2004</v>
      </c>
      <c r="C117" t="s">
        <v>36</v>
      </c>
      <c r="D117" t="s">
        <v>15</v>
      </c>
      <c r="E117" t="s">
        <v>38</v>
      </c>
      <c r="F117">
        <v>49</v>
      </c>
      <c r="G117">
        <v>296</v>
      </c>
      <c r="H117" t="s">
        <v>7</v>
      </c>
      <c r="I117">
        <v>7</v>
      </c>
      <c r="J117" t="b">
        <v>1</v>
      </c>
      <c r="K117" t="str">
        <f t="shared" si="1"/>
        <v>del012004</v>
      </c>
      <c r="L117">
        <f>VLOOKUP(K117,BheightCalcs!I$1:M$429, 5, FALSE)</f>
        <v>1.9850500000000002</v>
      </c>
      <c r="M117">
        <f>VLOOKUP(A117, BheightCalcs!P$1:S$39, 4, FALSE)</f>
        <v>9</v>
      </c>
    </row>
    <row r="118" spans="1:13" x14ac:dyDescent="0.2">
      <c r="A118" t="s">
        <v>35</v>
      </c>
      <c r="B118">
        <v>2005</v>
      </c>
      <c r="C118" t="s">
        <v>36</v>
      </c>
      <c r="D118" t="s">
        <v>15</v>
      </c>
      <c r="E118" t="s">
        <v>38</v>
      </c>
      <c r="F118">
        <v>42</v>
      </c>
      <c r="G118">
        <v>326</v>
      </c>
      <c r="H118" t="s">
        <v>7</v>
      </c>
      <c r="I118">
        <v>7</v>
      </c>
      <c r="J118" t="b">
        <v>1</v>
      </c>
      <c r="K118" t="str">
        <f t="shared" si="1"/>
        <v>del012005</v>
      </c>
      <c r="L118">
        <f>VLOOKUP(K118,BheightCalcs!I$1:M$429, 5, FALSE)</f>
        <v>2.4744000000000002</v>
      </c>
      <c r="M118">
        <f>VLOOKUP(A118, BheightCalcs!P$1:S$39, 4, FALSE)</f>
        <v>9</v>
      </c>
    </row>
    <row r="119" spans="1:13" x14ac:dyDescent="0.2">
      <c r="A119" t="s">
        <v>35</v>
      </c>
      <c r="B119">
        <v>2005</v>
      </c>
      <c r="C119" t="s">
        <v>36</v>
      </c>
      <c r="D119" t="s">
        <v>12</v>
      </c>
      <c r="E119" t="s">
        <v>37</v>
      </c>
      <c r="F119">
        <v>42</v>
      </c>
      <c r="G119">
        <v>326</v>
      </c>
      <c r="H119" t="s">
        <v>7</v>
      </c>
      <c r="I119">
        <v>7</v>
      </c>
      <c r="J119" t="b">
        <v>1</v>
      </c>
      <c r="K119" t="str">
        <f t="shared" si="1"/>
        <v>del012005</v>
      </c>
      <c r="L119">
        <f>VLOOKUP(K119,BheightCalcs!I$1:M$429, 5, FALSE)</f>
        <v>2.4744000000000002</v>
      </c>
      <c r="M119">
        <f>VLOOKUP(A119, BheightCalcs!P$1:S$39, 4, FALSE)</f>
        <v>9</v>
      </c>
    </row>
    <row r="120" spans="1:13" x14ac:dyDescent="0.2">
      <c r="A120" t="s">
        <v>35</v>
      </c>
      <c r="B120">
        <v>2006</v>
      </c>
      <c r="C120" t="s">
        <v>36</v>
      </c>
      <c r="D120" t="s">
        <v>12</v>
      </c>
      <c r="E120" t="s">
        <v>37</v>
      </c>
      <c r="F120">
        <v>23</v>
      </c>
      <c r="G120">
        <v>326</v>
      </c>
      <c r="H120" t="s">
        <v>7</v>
      </c>
      <c r="I120">
        <v>7</v>
      </c>
      <c r="J120" t="b">
        <v>1</v>
      </c>
      <c r="K120" t="str">
        <f t="shared" si="1"/>
        <v>del012006</v>
      </c>
      <c r="L120">
        <f>VLOOKUP(K120,BheightCalcs!I$1:M$429, 5, FALSE)</f>
        <v>2.8906500000000004</v>
      </c>
      <c r="M120">
        <f>VLOOKUP(A120, BheightCalcs!P$1:S$39, 4, FALSE)</f>
        <v>9</v>
      </c>
    </row>
    <row r="121" spans="1:13" x14ac:dyDescent="0.2">
      <c r="A121" t="s">
        <v>35</v>
      </c>
      <c r="B121">
        <v>2006</v>
      </c>
      <c r="C121" t="s">
        <v>36</v>
      </c>
      <c r="D121" t="s">
        <v>15</v>
      </c>
      <c r="E121" t="s">
        <v>38</v>
      </c>
      <c r="F121">
        <v>23</v>
      </c>
      <c r="G121">
        <v>326</v>
      </c>
      <c r="H121" t="s">
        <v>7</v>
      </c>
      <c r="I121">
        <v>7</v>
      </c>
      <c r="J121" t="b">
        <v>1</v>
      </c>
      <c r="K121" t="str">
        <f t="shared" si="1"/>
        <v>del012006</v>
      </c>
      <c r="L121">
        <f>VLOOKUP(K121,BheightCalcs!I$1:M$429, 5, FALSE)</f>
        <v>2.8906500000000004</v>
      </c>
      <c r="M121">
        <f>VLOOKUP(A121, BheightCalcs!P$1:S$39, 4, FALSE)</f>
        <v>9</v>
      </c>
    </row>
    <row r="122" spans="1:13" x14ac:dyDescent="0.2">
      <c r="A122" t="s">
        <v>35</v>
      </c>
      <c r="B122">
        <v>2007</v>
      </c>
      <c r="C122" t="s">
        <v>36</v>
      </c>
      <c r="D122" t="s">
        <v>12</v>
      </c>
      <c r="E122" t="s">
        <v>37</v>
      </c>
      <c r="F122">
        <v>19</v>
      </c>
      <c r="G122">
        <v>328</v>
      </c>
      <c r="H122" t="s">
        <v>7</v>
      </c>
      <c r="I122">
        <v>7</v>
      </c>
      <c r="J122" t="b">
        <v>1</v>
      </c>
      <c r="K122" t="str">
        <f t="shared" si="1"/>
        <v>del012007</v>
      </c>
      <c r="L122">
        <f>VLOOKUP(K122,BheightCalcs!I$1:M$429, 5, FALSE)</f>
        <v>3.6777500000000005</v>
      </c>
      <c r="M122">
        <f>VLOOKUP(A122, BheightCalcs!P$1:S$39, 4, FALSE)</f>
        <v>9</v>
      </c>
    </row>
    <row r="123" spans="1:13" x14ac:dyDescent="0.2">
      <c r="A123" t="s">
        <v>35</v>
      </c>
      <c r="B123">
        <v>2007</v>
      </c>
      <c r="C123" t="s">
        <v>36</v>
      </c>
      <c r="D123" t="s">
        <v>15</v>
      </c>
      <c r="E123" t="s">
        <v>38</v>
      </c>
      <c r="F123">
        <v>19</v>
      </c>
      <c r="G123">
        <v>328</v>
      </c>
      <c r="H123" t="s">
        <v>7</v>
      </c>
      <c r="I123">
        <v>7</v>
      </c>
      <c r="J123" t="b">
        <v>1</v>
      </c>
      <c r="K123" t="str">
        <f t="shared" si="1"/>
        <v>del012007</v>
      </c>
      <c r="L123">
        <f>VLOOKUP(K123,BheightCalcs!I$1:M$429, 5, FALSE)</f>
        <v>3.6777500000000005</v>
      </c>
      <c r="M123">
        <f>VLOOKUP(A123, BheightCalcs!P$1:S$39, 4, FALSE)</f>
        <v>9</v>
      </c>
    </row>
    <row r="124" spans="1:13" x14ac:dyDescent="0.2">
      <c r="A124" t="s">
        <v>35</v>
      </c>
      <c r="B124">
        <v>2008</v>
      </c>
      <c r="C124" t="s">
        <v>36</v>
      </c>
      <c r="D124" t="s">
        <v>12</v>
      </c>
      <c r="E124" t="s">
        <v>37</v>
      </c>
      <c r="F124">
        <v>41</v>
      </c>
      <c r="G124">
        <v>302</v>
      </c>
      <c r="H124" t="s">
        <v>7</v>
      </c>
      <c r="I124">
        <v>7</v>
      </c>
      <c r="J124" t="b">
        <v>1</v>
      </c>
      <c r="K124" t="str">
        <f t="shared" si="1"/>
        <v>del012008</v>
      </c>
      <c r="L124">
        <f>VLOOKUP(K124,BheightCalcs!I$1:M$429, 5, FALSE)</f>
        <v>4.2277000000000005</v>
      </c>
      <c r="M124">
        <f>VLOOKUP(A124, BheightCalcs!P$1:S$39, 4, FALSE)</f>
        <v>9</v>
      </c>
    </row>
    <row r="125" spans="1:13" x14ac:dyDescent="0.2">
      <c r="A125" t="s">
        <v>35</v>
      </c>
      <c r="B125">
        <v>2008</v>
      </c>
      <c r="C125" t="s">
        <v>36</v>
      </c>
      <c r="D125" t="s">
        <v>15</v>
      </c>
      <c r="E125" t="s">
        <v>38</v>
      </c>
      <c r="F125">
        <v>41</v>
      </c>
      <c r="G125">
        <v>302</v>
      </c>
      <c r="H125" t="s">
        <v>7</v>
      </c>
      <c r="I125">
        <v>7</v>
      </c>
      <c r="J125" t="b">
        <v>1</v>
      </c>
      <c r="K125" t="str">
        <f t="shared" si="1"/>
        <v>del012008</v>
      </c>
      <c r="L125">
        <f>VLOOKUP(K125,BheightCalcs!I$1:M$429, 5, FALSE)</f>
        <v>4.2277000000000005</v>
      </c>
      <c r="M125">
        <f>VLOOKUP(A125, BheightCalcs!P$1:S$39, 4, FALSE)</f>
        <v>9</v>
      </c>
    </row>
    <row r="126" spans="1:13" x14ac:dyDescent="0.2">
      <c r="A126" t="s">
        <v>35</v>
      </c>
      <c r="B126">
        <v>2009</v>
      </c>
      <c r="C126" t="s">
        <v>36</v>
      </c>
      <c r="D126" t="s">
        <v>15</v>
      </c>
      <c r="E126" t="s">
        <v>38</v>
      </c>
      <c r="F126">
        <v>43</v>
      </c>
      <c r="G126">
        <v>331</v>
      </c>
      <c r="H126" t="s">
        <v>7</v>
      </c>
      <c r="I126">
        <v>7</v>
      </c>
      <c r="J126" t="b">
        <v>1</v>
      </c>
      <c r="K126" t="str">
        <f t="shared" si="1"/>
        <v>del012009</v>
      </c>
      <c r="L126">
        <f>VLOOKUP(K126,BheightCalcs!I$1:M$429, 5, FALSE)</f>
        <v>5.1131000000000002</v>
      </c>
      <c r="M126">
        <f>VLOOKUP(A126, BheightCalcs!P$1:S$39, 4, FALSE)</f>
        <v>9</v>
      </c>
    </row>
    <row r="127" spans="1:13" x14ac:dyDescent="0.2">
      <c r="A127" t="s">
        <v>35</v>
      </c>
      <c r="B127">
        <v>2009</v>
      </c>
      <c r="C127" t="s">
        <v>36</v>
      </c>
      <c r="D127" t="s">
        <v>12</v>
      </c>
      <c r="E127" t="s">
        <v>37</v>
      </c>
      <c r="F127">
        <v>43</v>
      </c>
      <c r="G127">
        <v>331</v>
      </c>
      <c r="H127" t="s">
        <v>7</v>
      </c>
      <c r="I127">
        <v>7</v>
      </c>
      <c r="J127" t="b">
        <v>1</v>
      </c>
      <c r="K127" t="str">
        <f t="shared" si="1"/>
        <v>del012009</v>
      </c>
      <c r="L127">
        <f>VLOOKUP(K127,BheightCalcs!I$1:M$429, 5, FALSE)</f>
        <v>5.1131000000000002</v>
      </c>
      <c r="M127">
        <f>VLOOKUP(A127, BheightCalcs!P$1:S$39, 4, FALSE)</f>
        <v>9</v>
      </c>
    </row>
    <row r="128" spans="1:13" x14ac:dyDescent="0.2">
      <c r="A128" t="s">
        <v>35</v>
      </c>
      <c r="B128">
        <v>2010</v>
      </c>
      <c r="C128" t="s">
        <v>36</v>
      </c>
      <c r="D128" t="s">
        <v>12</v>
      </c>
      <c r="E128" t="s">
        <v>37</v>
      </c>
      <c r="F128">
        <v>37</v>
      </c>
      <c r="G128">
        <v>334</v>
      </c>
      <c r="H128" t="s">
        <v>7</v>
      </c>
      <c r="I128">
        <v>7</v>
      </c>
      <c r="J128" t="b">
        <v>1</v>
      </c>
      <c r="K128" t="str">
        <f t="shared" si="1"/>
        <v>del012010</v>
      </c>
      <c r="L128">
        <f>VLOOKUP(K128,BheightCalcs!I$1:M$429, 5, FALSE)</f>
        <v>5.4763999999999999</v>
      </c>
      <c r="M128">
        <f>VLOOKUP(A128, BheightCalcs!P$1:S$39, 4, FALSE)</f>
        <v>9</v>
      </c>
    </row>
    <row r="129" spans="1:13" x14ac:dyDescent="0.2">
      <c r="A129" t="s">
        <v>35</v>
      </c>
      <c r="B129">
        <v>2010</v>
      </c>
      <c r="C129" t="s">
        <v>36</v>
      </c>
      <c r="D129" t="s">
        <v>15</v>
      </c>
      <c r="E129" t="s">
        <v>38</v>
      </c>
      <c r="F129">
        <v>37</v>
      </c>
      <c r="G129">
        <v>334</v>
      </c>
      <c r="H129" t="s">
        <v>7</v>
      </c>
      <c r="I129">
        <v>7</v>
      </c>
      <c r="J129" t="b">
        <v>1</v>
      </c>
      <c r="K129" t="str">
        <f t="shared" si="1"/>
        <v>del012010</v>
      </c>
      <c r="L129">
        <f>VLOOKUP(K129,BheightCalcs!I$1:M$429, 5, FALSE)</f>
        <v>5.4763999999999999</v>
      </c>
      <c r="M129">
        <f>VLOOKUP(A129, BheightCalcs!P$1:S$39, 4, FALSE)</f>
        <v>9</v>
      </c>
    </row>
    <row r="130" spans="1:13" x14ac:dyDescent="0.2">
      <c r="A130" t="s">
        <v>35</v>
      </c>
      <c r="B130">
        <v>2011</v>
      </c>
      <c r="C130" t="s">
        <v>36</v>
      </c>
      <c r="D130" t="s">
        <v>15</v>
      </c>
      <c r="E130" t="s">
        <v>38</v>
      </c>
      <c r="F130">
        <v>42</v>
      </c>
      <c r="G130">
        <v>335</v>
      </c>
      <c r="H130" t="s">
        <v>7</v>
      </c>
      <c r="I130">
        <v>7</v>
      </c>
      <c r="J130" t="b">
        <v>1</v>
      </c>
      <c r="K130" t="str">
        <f t="shared" si="1"/>
        <v>del012011</v>
      </c>
      <c r="L130">
        <f>VLOOKUP(K130,BheightCalcs!I$1:M$429, 5, FALSE)</f>
        <v>6.0136500000000002</v>
      </c>
      <c r="M130">
        <f>VLOOKUP(A130, BheightCalcs!P$1:S$39, 4, FALSE)</f>
        <v>9</v>
      </c>
    </row>
    <row r="131" spans="1:13" x14ac:dyDescent="0.2">
      <c r="A131" t="s">
        <v>35</v>
      </c>
      <c r="B131">
        <v>2011</v>
      </c>
      <c r="C131" t="s">
        <v>36</v>
      </c>
      <c r="D131" t="s">
        <v>12</v>
      </c>
      <c r="E131" t="s">
        <v>37</v>
      </c>
      <c r="F131">
        <v>42</v>
      </c>
      <c r="G131">
        <v>335</v>
      </c>
      <c r="H131" t="s">
        <v>7</v>
      </c>
      <c r="I131">
        <v>7</v>
      </c>
      <c r="J131" t="b">
        <v>1</v>
      </c>
      <c r="K131" t="str">
        <f t="shared" ref="K131:K194" si="2">CONCATENATE(A131, B131)</f>
        <v>del012011</v>
      </c>
      <c r="L131">
        <f>VLOOKUP(K131,BheightCalcs!I$1:M$429, 5, FALSE)</f>
        <v>6.0136500000000002</v>
      </c>
      <c r="M131">
        <f>VLOOKUP(A131, BheightCalcs!P$1:S$39, 4, FALSE)</f>
        <v>9</v>
      </c>
    </row>
    <row r="132" spans="1:13" x14ac:dyDescent="0.2">
      <c r="A132" t="s">
        <v>35</v>
      </c>
      <c r="B132">
        <v>2012</v>
      </c>
      <c r="C132" t="s">
        <v>36</v>
      </c>
      <c r="D132" t="s">
        <v>15</v>
      </c>
      <c r="E132" t="s">
        <v>38</v>
      </c>
      <c r="F132">
        <v>80</v>
      </c>
      <c r="G132">
        <v>324</v>
      </c>
      <c r="H132" t="s">
        <v>7</v>
      </c>
      <c r="I132">
        <v>7</v>
      </c>
      <c r="J132" t="b">
        <v>1</v>
      </c>
      <c r="K132" t="str">
        <f t="shared" si="2"/>
        <v>del012012</v>
      </c>
      <c r="L132">
        <f>VLOOKUP(K132,BheightCalcs!I$1:M$429, 5, FALSE)</f>
        <v>6.6871999999999998</v>
      </c>
      <c r="M132">
        <f>VLOOKUP(A132, BheightCalcs!P$1:S$39, 4, FALSE)</f>
        <v>9</v>
      </c>
    </row>
    <row r="133" spans="1:13" x14ac:dyDescent="0.2">
      <c r="A133" t="s">
        <v>35</v>
      </c>
      <c r="B133">
        <v>2012</v>
      </c>
      <c r="C133" t="s">
        <v>36</v>
      </c>
      <c r="D133" t="s">
        <v>12</v>
      </c>
      <c r="E133" t="s">
        <v>37</v>
      </c>
      <c r="F133">
        <v>80</v>
      </c>
      <c r="G133">
        <v>324</v>
      </c>
      <c r="H133" t="s">
        <v>7</v>
      </c>
      <c r="I133">
        <v>7</v>
      </c>
      <c r="J133" t="b">
        <v>1</v>
      </c>
      <c r="K133" t="str">
        <f t="shared" si="2"/>
        <v>del012012</v>
      </c>
      <c r="L133">
        <f>VLOOKUP(K133,BheightCalcs!I$1:M$429, 5, FALSE)</f>
        <v>6.6871999999999998</v>
      </c>
      <c r="M133">
        <f>VLOOKUP(A133, BheightCalcs!P$1:S$39, 4, FALSE)</f>
        <v>9</v>
      </c>
    </row>
    <row r="134" spans="1:13" x14ac:dyDescent="0.2">
      <c r="A134" t="s">
        <v>35</v>
      </c>
      <c r="B134">
        <v>2013</v>
      </c>
      <c r="C134" t="s">
        <v>36</v>
      </c>
      <c r="D134" t="s">
        <v>15</v>
      </c>
      <c r="E134" t="s">
        <v>38</v>
      </c>
      <c r="F134">
        <v>29</v>
      </c>
      <c r="G134">
        <v>325</v>
      </c>
      <c r="H134" t="s">
        <v>7</v>
      </c>
      <c r="I134">
        <v>7</v>
      </c>
      <c r="J134" t="b">
        <v>1</v>
      </c>
      <c r="K134" t="str">
        <f t="shared" si="2"/>
        <v>del012013</v>
      </c>
      <c r="L134">
        <f>VLOOKUP(K134,BheightCalcs!I$1:M$429, 5, FALSE)</f>
        <v>7</v>
      </c>
      <c r="M134">
        <f>VLOOKUP(A134, BheightCalcs!P$1:S$39, 4, FALSE)</f>
        <v>9</v>
      </c>
    </row>
    <row r="135" spans="1:13" x14ac:dyDescent="0.2">
      <c r="A135" t="s">
        <v>39</v>
      </c>
      <c r="B135">
        <v>2004</v>
      </c>
      <c r="C135" t="s">
        <v>36</v>
      </c>
      <c r="D135" t="s">
        <v>12</v>
      </c>
      <c r="E135" t="s">
        <v>40</v>
      </c>
      <c r="F135">
        <v>49</v>
      </c>
      <c r="G135">
        <v>296</v>
      </c>
      <c r="H135" t="s">
        <v>7</v>
      </c>
      <c r="I135">
        <v>10</v>
      </c>
      <c r="J135" t="b">
        <v>1</v>
      </c>
      <c r="K135" t="str">
        <f t="shared" si="2"/>
        <v>del072004</v>
      </c>
      <c r="L135">
        <f>VLOOKUP(K135,BheightCalcs!I$1:M$429, 5, FALSE)</f>
        <v>4.5324999999999989</v>
      </c>
      <c r="M135">
        <f>VLOOKUP(A135, BheightCalcs!P$1:S$39, 4, FALSE)</f>
        <v>9</v>
      </c>
    </row>
    <row r="136" spans="1:13" x14ac:dyDescent="0.2">
      <c r="A136" t="s">
        <v>39</v>
      </c>
      <c r="B136">
        <v>2004</v>
      </c>
      <c r="C136" t="s">
        <v>36</v>
      </c>
      <c r="D136" t="s">
        <v>15</v>
      </c>
      <c r="E136" t="s">
        <v>41</v>
      </c>
      <c r="F136">
        <v>49</v>
      </c>
      <c r="G136">
        <v>296</v>
      </c>
      <c r="H136" t="s">
        <v>7</v>
      </c>
      <c r="I136">
        <v>10</v>
      </c>
      <c r="J136" t="b">
        <v>1</v>
      </c>
      <c r="K136" t="str">
        <f t="shared" si="2"/>
        <v>del072004</v>
      </c>
      <c r="L136">
        <f>VLOOKUP(K136,BheightCalcs!I$1:M$429, 5, FALSE)</f>
        <v>4.5324999999999989</v>
      </c>
      <c r="M136">
        <f>VLOOKUP(A136, BheightCalcs!P$1:S$39, 4, FALSE)</f>
        <v>9</v>
      </c>
    </row>
    <row r="137" spans="1:13" x14ac:dyDescent="0.2">
      <c r="A137" t="s">
        <v>39</v>
      </c>
      <c r="B137">
        <v>2005</v>
      </c>
      <c r="C137" t="s">
        <v>36</v>
      </c>
      <c r="D137" t="s">
        <v>12</v>
      </c>
      <c r="E137" t="s">
        <v>40</v>
      </c>
      <c r="F137">
        <v>42</v>
      </c>
      <c r="G137">
        <v>326</v>
      </c>
      <c r="H137" t="s">
        <v>7</v>
      </c>
      <c r="I137">
        <v>10</v>
      </c>
      <c r="J137" t="b">
        <v>1</v>
      </c>
      <c r="K137" t="str">
        <f t="shared" si="2"/>
        <v>del072005</v>
      </c>
      <c r="L137">
        <f>VLOOKUP(K137,BheightCalcs!I$1:M$429, 5, FALSE)</f>
        <v>5.2954999999999988</v>
      </c>
      <c r="M137">
        <f>VLOOKUP(A137, BheightCalcs!P$1:S$39, 4, FALSE)</f>
        <v>9</v>
      </c>
    </row>
    <row r="138" spans="1:13" x14ac:dyDescent="0.2">
      <c r="A138" t="s">
        <v>39</v>
      </c>
      <c r="B138">
        <v>2005</v>
      </c>
      <c r="C138" t="s">
        <v>36</v>
      </c>
      <c r="D138" t="s">
        <v>15</v>
      </c>
      <c r="E138" t="s">
        <v>41</v>
      </c>
      <c r="F138">
        <v>42</v>
      </c>
      <c r="G138">
        <v>326</v>
      </c>
      <c r="H138" t="s">
        <v>7</v>
      </c>
      <c r="I138">
        <v>10</v>
      </c>
      <c r="J138" t="b">
        <v>1</v>
      </c>
      <c r="K138" t="str">
        <f t="shared" si="2"/>
        <v>del072005</v>
      </c>
      <c r="L138">
        <f>VLOOKUP(K138,BheightCalcs!I$1:M$429, 5, FALSE)</f>
        <v>5.2954999999999988</v>
      </c>
      <c r="M138">
        <f>VLOOKUP(A138, BheightCalcs!P$1:S$39, 4, FALSE)</f>
        <v>9</v>
      </c>
    </row>
    <row r="139" spans="1:13" x14ac:dyDescent="0.2">
      <c r="A139" t="s">
        <v>39</v>
      </c>
      <c r="B139">
        <v>2006</v>
      </c>
      <c r="C139" t="s">
        <v>36</v>
      </c>
      <c r="D139" t="s">
        <v>12</v>
      </c>
      <c r="E139" t="s">
        <v>40</v>
      </c>
      <c r="F139">
        <v>23</v>
      </c>
      <c r="G139">
        <v>326</v>
      </c>
      <c r="H139" t="s">
        <v>7</v>
      </c>
      <c r="I139">
        <v>10</v>
      </c>
      <c r="J139" t="b">
        <v>1</v>
      </c>
      <c r="K139" t="str">
        <f t="shared" si="2"/>
        <v>del072006</v>
      </c>
      <c r="L139">
        <f>VLOOKUP(K139,BheightCalcs!I$1:M$429, 5, FALSE)</f>
        <v>5.706999999999999</v>
      </c>
      <c r="M139">
        <f>VLOOKUP(A139, BheightCalcs!P$1:S$39, 4, FALSE)</f>
        <v>9</v>
      </c>
    </row>
    <row r="140" spans="1:13" x14ac:dyDescent="0.2">
      <c r="A140" t="s">
        <v>39</v>
      </c>
      <c r="B140">
        <v>2006</v>
      </c>
      <c r="C140" t="s">
        <v>36</v>
      </c>
      <c r="D140" t="s">
        <v>15</v>
      </c>
      <c r="E140" t="s">
        <v>41</v>
      </c>
      <c r="F140">
        <v>23</v>
      </c>
      <c r="G140">
        <v>326</v>
      </c>
      <c r="H140" t="s">
        <v>7</v>
      </c>
      <c r="I140">
        <v>10</v>
      </c>
      <c r="J140" t="b">
        <v>1</v>
      </c>
      <c r="K140" t="str">
        <f t="shared" si="2"/>
        <v>del072006</v>
      </c>
      <c r="L140">
        <f>VLOOKUP(K140,BheightCalcs!I$1:M$429, 5, FALSE)</f>
        <v>5.706999999999999</v>
      </c>
      <c r="M140">
        <f>VLOOKUP(A140, BheightCalcs!P$1:S$39, 4, FALSE)</f>
        <v>9</v>
      </c>
    </row>
    <row r="141" spans="1:13" x14ac:dyDescent="0.2">
      <c r="A141" t="s">
        <v>39</v>
      </c>
      <c r="B141">
        <v>2007</v>
      </c>
      <c r="C141" t="s">
        <v>36</v>
      </c>
      <c r="D141" t="s">
        <v>15</v>
      </c>
      <c r="E141" t="s">
        <v>41</v>
      </c>
      <c r="F141">
        <v>19</v>
      </c>
      <c r="G141">
        <v>328</v>
      </c>
      <c r="H141" t="s">
        <v>7</v>
      </c>
      <c r="I141">
        <v>10</v>
      </c>
      <c r="J141" t="b">
        <v>1</v>
      </c>
      <c r="K141" t="str">
        <f t="shared" si="2"/>
        <v>del072007</v>
      </c>
      <c r="L141">
        <f>VLOOKUP(K141,BheightCalcs!I$1:M$429, 5, FALSE)</f>
        <v>6.3589499999999992</v>
      </c>
      <c r="M141">
        <f>VLOOKUP(A141, BheightCalcs!P$1:S$39, 4, FALSE)</f>
        <v>9</v>
      </c>
    </row>
    <row r="142" spans="1:13" x14ac:dyDescent="0.2">
      <c r="A142" t="s">
        <v>39</v>
      </c>
      <c r="B142">
        <v>2007</v>
      </c>
      <c r="C142" t="s">
        <v>36</v>
      </c>
      <c r="D142" t="s">
        <v>12</v>
      </c>
      <c r="E142" t="s">
        <v>40</v>
      </c>
      <c r="F142">
        <v>19</v>
      </c>
      <c r="G142">
        <v>328</v>
      </c>
      <c r="H142" t="s">
        <v>7</v>
      </c>
      <c r="I142">
        <v>10</v>
      </c>
      <c r="J142" t="b">
        <v>1</v>
      </c>
      <c r="K142" t="str">
        <f t="shared" si="2"/>
        <v>del072007</v>
      </c>
      <c r="L142">
        <f>VLOOKUP(K142,BheightCalcs!I$1:M$429, 5, FALSE)</f>
        <v>6.3589499999999992</v>
      </c>
      <c r="M142">
        <f>VLOOKUP(A142, BheightCalcs!P$1:S$39, 4, FALSE)</f>
        <v>9</v>
      </c>
    </row>
    <row r="143" spans="1:13" x14ac:dyDescent="0.2">
      <c r="A143" t="s">
        <v>39</v>
      </c>
      <c r="B143">
        <v>2008</v>
      </c>
      <c r="C143" t="s">
        <v>36</v>
      </c>
      <c r="D143" t="s">
        <v>12</v>
      </c>
      <c r="E143" t="s">
        <v>40</v>
      </c>
      <c r="F143">
        <v>41</v>
      </c>
      <c r="G143">
        <v>302</v>
      </c>
      <c r="H143" t="s">
        <v>7</v>
      </c>
      <c r="I143">
        <v>10</v>
      </c>
      <c r="J143" t="b">
        <v>1</v>
      </c>
      <c r="K143" t="str">
        <f t="shared" si="2"/>
        <v>del072008</v>
      </c>
      <c r="L143">
        <f>VLOOKUP(K143,BheightCalcs!I$1:M$429, 5, FALSE)</f>
        <v>6.7975999999999992</v>
      </c>
      <c r="M143">
        <f>VLOOKUP(A143, BheightCalcs!P$1:S$39, 4, FALSE)</f>
        <v>9</v>
      </c>
    </row>
    <row r="144" spans="1:13" x14ac:dyDescent="0.2">
      <c r="A144" t="s">
        <v>39</v>
      </c>
      <c r="B144">
        <v>2008</v>
      </c>
      <c r="C144" t="s">
        <v>36</v>
      </c>
      <c r="D144" t="s">
        <v>15</v>
      </c>
      <c r="E144" t="s">
        <v>41</v>
      </c>
      <c r="F144">
        <v>41</v>
      </c>
      <c r="G144">
        <v>302</v>
      </c>
      <c r="H144" t="s">
        <v>7</v>
      </c>
      <c r="I144">
        <v>10</v>
      </c>
      <c r="J144" t="b">
        <v>1</v>
      </c>
      <c r="K144" t="str">
        <f t="shared" si="2"/>
        <v>del072008</v>
      </c>
      <c r="L144">
        <f>VLOOKUP(K144,BheightCalcs!I$1:M$429, 5, FALSE)</f>
        <v>6.7975999999999992</v>
      </c>
      <c r="M144">
        <f>VLOOKUP(A144, BheightCalcs!P$1:S$39, 4, FALSE)</f>
        <v>9</v>
      </c>
    </row>
    <row r="145" spans="1:13" x14ac:dyDescent="0.2">
      <c r="A145" t="s">
        <v>39</v>
      </c>
      <c r="B145">
        <v>2009</v>
      </c>
      <c r="C145" t="s">
        <v>36</v>
      </c>
      <c r="D145" t="s">
        <v>15</v>
      </c>
      <c r="E145" t="s">
        <v>41</v>
      </c>
      <c r="F145">
        <v>43</v>
      </c>
      <c r="G145">
        <v>331</v>
      </c>
      <c r="H145" t="s">
        <v>7</v>
      </c>
      <c r="I145">
        <v>10</v>
      </c>
      <c r="J145" t="b">
        <v>1</v>
      </c>
      <c r="K145" t="str">
        <f t="shared" si="2"/>
        <v>del072009</v>
      </c>
      <c r="L145">
        <f>VLOOKUP(K145,BheightCalcs!I$1:M$429, 5, FALSE)</f>
        <v>7.6114499999999996</v>
      </c>
      <c r="M145">
        <f>VLOOKUP(A145, BheightCalcs!P$1:S$39, 4, FALSE)</f>
        <v>9</v>
      </c>
    </row>
    <row r="146" spans="1:13" x14ac:dyDescent="0.2">
      <c r="A146" t="s">
        <v>39</v>
      </c>
      <c r="B146">
        <v>2009</v>
      </c>
      <c r="C146" t="s">
        <v>36</v>
      </c>
      <c r="D146" t="s">
        <v>12</v>
      </c>
      <c r="E146" t="s">
        <v>40</v>
      </c>
      <c r="F146">
        <v>43</v>
      </c>
      <c r="G146">
        <v>331</v>
      </c>
      <c r="H146" t="s">
        <v>7</v>
      </c>
      <c r="I146">
        <v>10</v>
      </c>
      <c r="J146" t="b">
        <v>1</v>
      </c>
      <c r="K146" t="str">
        <f t="shared" si="2"/>
        <v>del072009</v>
      </c>
      <c r="L146">
        <f>VLOOKUP(K146,BheightCalcs!I$1:M$429, 5, FALSE)</f>
        <v>7.6114499999999996</v>
      </c>
      <c r="M146">
        <f>VLOOKUP(A146, BheightCalcs!P$1:S$39, 4, FALSE)</f>
        <v>9</v>
      </c>
    </row>
    <row r="147" spans="1:13" x14ac:dyDescent="0.2">
      <c r="A147" t="s">
        <v>39</v>
      </c>
      <c r="B147">
        <v>2010</v>
      </c>
      <c r="C147" t="s">
        <v>36</v>
      </c>
      <c r="D147" t="s">
        <v>15</v>
      </c>
      <c r="E147" t="s">
        <v>41</v>
      </c>
      <c r="F147">
        <v>37</v>
      </c>
      <c r="G147">
        <v>334</v>
      </c>
      <c r="H147" t="s">
        <v>7</v>
      </c>
      <c r="I147">
        <v>10</v>
      </c>
      <c r="J147" t="b">
        <v>1</v>
      </c>
      <c r="K147" t="str">
        <f t="shared" si="2"/>
        <v>del072010</v>
      </c>
      <c r="L147">
        <f>VLOOKUP(K147,BheightCalcs!I$1:M$429, 5, FALSE)</f>
        <v>8.1710499999999993</v>
      </c>
      <c r="M147">
        <f>VLOOKUP(A147, BheightCalcs!P$1:S$39, 4, FALSE)</f>
        <v>9</v>
      </c>
    </row>
    <row r="148" spans="1:13" x14ac:dyDescent="0.2">
      <c r="A148" t="s">
        <v>39</v>
      </c>
      <c r="B148">
        <v>2010</v>
      </c>
      <c r="C148" t="s">
        <v>36</v>
      </c>
      <c r="D148" t="s">
        <v>12</v>
      </c>
      <c r="E148" t="s">
        <v>40</v>
      </c>
      <c r="F148">
        <v>37</v>
      </c>
      <c r="G148">
        <v>334</v>
      </c>
      <c r="H148" t="s">
        <v>7</v>
      </c>
      <c r="I148">
        <v>10</v>
      </c>
      <c r="J148" t="b">
        <v>1</v>
      </c>
      <c r="K148" t="str">
        <f t="shared" si="2"/>
        <v>del072010</v>
      </c>
      <c r="L148">
        <f>VLOOKUP(K148,BheightCalcs!I$1:M$429, 5, FALSE)</f>
        <v>8.1710499999999993</v>
      </c>
      <c r="M148">
        <f>VLOOKUP(A148, BheightCalcs!P$1:S$39, 4, FALSE)</f>
        <v>9</v>
      </c>
    </row>
    <row r="149" spans="1:13" x14ac:dyDescent="0.2">
      <c r="A149" t="s">
        <v>39</v>
      </c>
      <c r="B149">
        <v>2011</v>
      </c>
      <c r="C149" t="s">
        <v>36</v>
      </c>
      <c r="D149" t="s">
        <v>15</v>
      </c>
      <c r="E149" t="s">
        <v>41</v>
      </c>
      <c r="F149">
        <v>42</v>
      </c>
      <c r="G149">
        <v>335</v>
      </c>
      <c r="H149" t="s">
        <v>7</v>
      </c>
      <c r="I149">
        <v>10</v>
      </c>
      <c r="J149" t="b">
        <v>1</v>
      </c>
      <c r="K149" t="str">
        <f t="shared" si="2"/>
        <v>del072011</v>
      </c>
      <c r="L149">
        <f>VLOOKUP(K149,BheightCalcs!I$1:M$429, 5, FALSE)</f>
        <v>8.7479999999999993</v>
      </c>
      <c r="M149">
        <f>VLOOKUP(A149, BheightCalcs!P$1:S$39, 4, FALSE)</f>
        <v>9</v>
      </c>
    </row>
    <row r="150" spans="1:13" x14ac:dyDescent="0.2">
      <c r="A150" t="s">
        <v>39</v>
      </c>
      <c r="B150">
        <v>2011</v>
      </c>
      <c r="C150" t="s">
        <v>36</v>
      </c>
      <c r="D150" t="s">
        <v>12</v>
      </c>
      <c r="E150" t="s">
        <v>40</v>
      </c>
      <c r="F150">
        <v>42</v>
      </c>
      <c r="G150">
        <v>335</v>
      </c>
      <c r="H150" t="s">
        <v>7</v>
      </c>
      <c r="I150">
        <v>10</v>
      </c>
      <c r="J150" t="b">
        <v>1</v>
      </c>
      <c r="K150" t="str">
        <f t="shared" si="2"/>
        <v>del072011</v>
      </c>
      <c r="L150">
        <f>VLOOKUP(K150,BheightCalcs!I$1:M$429, 5, FALSE)</f>
        <v>8.7479999999999993</v>
      </c>
      <c r="M150">
        <f>VLOOKUP(A150, BheightCalcs!P$1:S$39, 4, FALSE)</f>
        <v>9</v>
      </c>
    </row>
    <row r="151" spans="1:13" x14ac:dyDescent="0.2">
      <c r="A151" t="s">
        <v>39</v>
      </c>
      <c r="B151">
        <v>2012</v>
      </c>
      <c r="C151" t="s">
        <v>36</v>
      </c>
      <c r="D151" t="s">
        <v>12</v>
      </c>
      <c r="E151" t="s">
        <v>40</v>
      </c>
      <c r="F151">
        <v>80</v>
      </c>
      <c r="G151">
        <v>324</v>
      </c>
      <c r="H151" t="s">
        <v>7</v>
      </c>
      <c r="I151">
        <v>10</v>
      </c>
      <c r="J151" t="b">
        <v>1</v>
      </c>
      <c r="K151" t="str">
        <f t="shared" si="2"/>
        <v>del072012</v>
      </c>
      <c r="L151">
        <f>VLOOKUP(K151,BheightCalcs!I$1:M$429, 5, FALSE)</f>
        <v>9.3029499999999992</v>
      </c>
      <c r="M151">
        <f>VLOOKUP(A151, BheightCalcs!P$1:S$39, 4, FALSE)</f>
        <v>9</v>
      </c>
    </row>
    <row r="152" spans="1:13" x14ac:dyDescent="0.2">
      <c r="A152" t="s">
        <v>39</v>
      </c>
      <c r="B152">
        <v>2012</v>
      </c>
      <c r="C152" t="s">
        <v>36</v>
      </c>
      <c r="D152" t="s">
        <v>15</v>
      </c>
      <c r="E152" t="s">
        <v>41</v>
      </c>
      <c r="F152">
        <v>80</v>
      </c>
      <c r="G152">
        <v>324</v>
      </c>
      <c r="H152" t="s">
        <v>7</v>
      </c>
      <c r="I152">
        <v>10</v>
      </c>
      <c r="J152" t="b">
        <v>1</v>
      </c>
      <c r="K152" t="str">
        <f t="shared" si="2"/>
        <v>del072012</v>
      </c>
      <c r="L152">
        <f>VLOOKUP(K152,BheightCalcs!I$1:M$429, 5, FALSE)</f>
        <v>9.3029499999999992</v>
      </c>
      <c r="M152">
        <f>VLOOKUP(A152, BheightCalcs!P$1:S$39, 4, FALSE)</f>
        <v>9</v>
      </c>
    </row>
    <row r="153" spans="1:13" x14ac:dyDescent="0.2">
      <c r="A153" t="s">
        <v>39</v>
      </c>
      <c r="B153">
        <v>2013</v>
      </c>
      <c r="C153" t="s">
        <v>36</v>
      </c>
      <c r="D153" t="s">
        <v>12</v>
      </c>
      <c r="E153" t="s">
        <v>40</v>
      </c>
      <c r="F153">
        <v>29</v>
      </c>
      <c r="G153">
        <v>325</v>
      </c>
      <c r="H153" t="s">
        <v>7</v>
      </c>
      <c r="I153">
        <v>10</v>
      </c>
      <c r="J153" t="b">
        <v>1</v>
      </c>
      <c r="K153" t="str">
        <f t="shared" si="2"/>
        <v>del072013</v>
      </c>
      <c r="L153">
        <f>VLOOKUP(K153,BheightCalcs!I$1:M$429, 5, FALSE)</f>
        <v>10</v>
      </c>
      <c r="M153">
        <f>VLOOKUP(A153, BheightCalcs!P$1:S$39, 4, FALSE)</f>
        <v>9</v>
      </c>
    </row>
    <row r="154" spans="1:13" x14ac:dyDescent="0.2">
      <c r="A154" t="s">
        <v>39</v>
      </c>
      <c r="B154">
        <v>2013</v>
      </c>
      <c r="C154" t="s">
        <v>36</v>
      </c>
      <c r="D154" t="s">
        <v>15</v>
      </c>
      <c r="E154" t="s">
        <v>41</v>
      </c>
      <c r="F154">
        <v>29</v>
      </c>
      <c r="G154">
        <v>325</v>
      </c>
      <c r="H154" t="s">
        <v>7</v>
      </c>
      <c r="I154">
        <v>10</v>
      </c>
      <c r="J154" t="b">
        <v>1</v>
      </c>
      <c r="K154" t="str">
        <f t="shared" si="2"/>
        <v>del072013</v>
      </c>
      <c r="L154">
        <f>VLOOKUP(K154,BheightCalcs!I$1:M$429, 5, FALSE)</f>
        <v>10</v>
      </c>
      <c r="M154">
        <f>VLOOKUP(A154, BheightCalcs!P$1:S$39, 4, FALSE)</f>
        <v>9</v>
      </c>
    </row>
    <row r="155" spans="1:13" x14ac:dyDescent="0.2">
      <c r="A155" t="s">
        <v>42</v>
      </c>
      <c r="B155">
        <v>2005</v>
      </c>
      <c r="C155" t="s">
        <v>36</v>
      </c>
      <c r="D155" t="s">
        <v>12</v>
      </c>
      <c r="E155" t="s">
        <v>43</v>
      </c>
      <c r="F155">
        <v>42</v>
      </c>
      <c r="G155">
        <v>326</v>
      </c>
      <c r="H155" t="s">
        <v>7</v>
      </c>
      <c r="I155">
        <v>8</v>
      </c>
      <c r="J155" t="b">
        <v>1</v>
      </c>
      <c r="K155" t="str">
        <f t="shared" si="2"/>
        <v>del082005</v>
      </c>
      <c r="L155">
        <f>VLOOKUP(K155,BheightCalcs!I$1:M$429, 5, FALSE)</f>
        <v>1.9684500000000005</v>
      </c>
      <c r="M155">
        <f>VLOOKUP(A155, BheightCalcs!P$1:S$39, 4, FALSE)</f>
        <v>8</v>
      </c>
    </row>
    <row r="156" spans="1:13" x14ac:dyDescent="0.2">
      <c r="A156" t="s">
        <v>42</v>
      </c>
      <c r="B156">
        <v>2006</v>
      </c>
      <c r="C156" t="s">
        <v>36</v>
      </c>
      <c r="D156" t="s">
        <v>12</v>
      </c>
      <c r="E156" t="s">
        <v>43</v>
      </c>
      <c r="F156">
        <v>23</v>
      </c>
      <c r="G156">
        <v>326</v>
      </c>
      <c r="H156" t="s">
        <v>7</v>
      </c>
      <c r="I156">
        <v>8</v>
      </c>
      <c r="J156" t="b">
        <v>1</v>
      </c>
      <c r="K156" t="str">
        <f t="shared" si="2"/>
        <v>del082006</v>
      </c>
      <c r="L156">
        <f>VLOOKUP(K156,BheightCalcs!I$1:M$429, 5, FALSE)</f>
        <v>2.4628500000000004</v>
      </c>
      <c r="M156">
        <f>VLOOKUP(A156, BheightCalcs!P$1:S$39, 4, FALSE)</f>
        <v>8</v>
      </c>
    </row>
    <row r="157" spans="1:13" x14ac:dyDescent="0.2">
      <c r="A157" t="s">
        <v>42</v>
      </c>
      <c r="B157">
        <v>2007</v>
      </c>
      <c r="C157" t="s">
        <v>36</v>
      </c>
      <c r="D157" t="s">
        <v>12</v>
      </c>
      <c r="E157" t="s">
        <v>43</v>
      </c>
      <c r="F157">
        <v>19</v>
      </c>
      <c r="G157">
        <v>328</v>
      </c>
      <c r="H157" t="s">
        <v>7</v>
      </c>
      <c r="I157">
        <v>8</v>
      </c>
      <c r="J157" t="b">
        <v>1</v>
      </c>
      <c r="K157" t="str">
        <f t="shared" si="2"/>
        <v>del082007</v>
      </c>
      <c r="L157">
        <f>VLOOKUP(K157,BheightCalcs!I$1:M$429, 5, FALSE)</f>
        <v>2.7756500000000006</v>
      </c>
      <c r="M157">
        <f>VLOOKUP(A157, BheightCalcs!P$1:S$39, 4, FALSE)</f>
        <v>8</v>
      </c>
    </row>
    <row r="158" spans="1:13" x14ac:dyDescent="0.2">
      <c r="A158" t="s">
        <v>42</v>
      </c>
      <c r="B158">
        <v>2008</v>
      </c>
      <c r="C158" t="s">
        <v>36</v>
      </c>
      <c r="D158" t="s">
        <v>15</v>
      </c>
      <c r="E158" t="s">
        <v>44</v>
      </c>
      <c r="F158">
        <v>41</v>
      </c>
      <c r="G158">
        <v>302</v>
      </c>
      <c r="H158" t="s">
        <v>7</v>
      </c>
      <c r="I158">
        <v>8</v>
      </c>
      <c r="J158" t="b">
        <v>1</v>
      </c>
      <c r="K158" t="str">
        <f t="shared" si="2"/>
        <v>del082008</v>
      </c>
      <c r="L158">
        <f>VLOOKUP(K158,BheightCalcs!I$1:M$429, 5, FALSE)</f>
        <v>3.9310000000000009</v>
      </c>
      <c r="M158">
        <f>VLOOKUP(A158, BheightCalcs!P$1:S$39, 4, FALSE)</f>
        <v>8</v>
      </c>
    </row>
    <row r="159" spans="1:13" x14ac:dyDescent="0.2">
      <c r="A159" t="s">
        <v>42</v>
      </c>
      <c r="B159">
        <v>2008</v>
      </c>
      <c r="C159" t="s">
        <v>36</v>
      </c>
      <c r="D159" t="s">
        <v>12</v>
      </c>
      <c r="E159" t="s">
        <v>43</v>
      </c>
      <c r="F159">
        <v>41</v>
      </c>
      <c r="G159">
        <v>302</v>
      </c>
      <c r="H159" t="s">
        <v>7</v>
      </c>
      <c r="I159">
        <v>8</v>
      </c>
      <c r="J159" t="b">
        <v>1</v>
      </c>
      <c r="K159" t="str">
        <f t="shared" si="2"/>
        <v>del082008</v>
      </c>
      <c r="L159">
        <f>VLOOKUP(K159,BheightCalcs!I$1:M$429, 5, FALSE)</f>
        <v>3.9310000000000009</v>
      </c>
      <c r="M159">
        <f>VLOOKUP(A159, BheightCalcs!P$1:S$39, 4, FALSE)</f>
        <v>8</v>
      </c>
    </row>
    <row r="160" spans="1:13" x14ac:dyDescent="0.2">
      <c r="A160" t="s">
        <v>42</v>
      </c>
      <c r="B160">
        <v>2009</v>
      </c>
      <c r="C160" t="s">
        <v>36</v>
      </c>
      <c r="D160" t="s">
        <v>12</v>
      </c>
      <c r="E160" t="s">
        <v>43</v>
      </c>
      <c r="F160">
        <v>43</v>
      </c>
      <c r="G160">
        <v>331</v>
      </c>
      <c r="H160" t="s">
        <v>7</v>
      </c>
      <c r="I160">
        <v>8</v>
      </c>
      <c r="J160" t="b">
        <v>1</v>
      </c>
      <c r="K160" t="str">
        <f t="shared" si="2"/>
        <v>del082009</v>
      </c>
      <c r="L160">
        <f>VLOOKUP(K160,BheightCalcs!I$1:M$429, 5, FALSE)</f>
        <v>4.8644000000000007</v>
      </c>
      <c r="M160">
        <f>VLOOKUP(A160, BheightCalcs!P$1:S$39, 4, FALSE)</f>
        <v>8</v>
      </c>
    </row>
    <row r="161" spans="1:13" x14ac:dyDescent="0.2">
      <c r="A161" t="s">
        <v>42</v>
      </c>
      <c r="B161">
        <v>2009</v>
      </c>
      <c r="C161" t="s">
        <v>36</v>
      </c>
      <c r="D161" t="s">
        <v>15</v>
      </c>
      <c r="E161" t="s">
        <v>44</v>
      </c>
      <c r="F161">
        <v>43</v>
      </c>
      <c r="G161">
        <v>331</v>
      </c>
      <c r="H161" t="s">
        <v>7</v>
      </c>
      <c r="I161">
        <v>8</v>
      </c>
      <c r="J161" t="b">
        <v>1</v>
      </c>
      <c r="K161" t="str">
        <f t="shared" si="2"/>
        <v>del082009</v>
      </c>
      <c r="L161">
        <f>VLOOKUP(K161,BheightCalcs!I$1:M$429, 5, FALSE)</f>
        <v>4.8644000000000007</v>
      </c>
      <c r="M161">
        <f>VLOOKUP(A161, BheightCalcs!P$1:S$39, 4, FALSE)</f>
        <v>8</v>
      </c>
    </row>
    <row r="162" spans="1:13" x14ac:dyDescent="0.2">
      <c r="A162" t="s">
        <v>42</v>
      </c>
      <c r="B162">
        <v>2010</v>
      </c>
      <c r="C162" t="s">
        <v>36</v>
      </c>
      <c r="D162" t="s">
        <v>12</v>
      </c>
      <c r="E162" t="s">
        <v>43</v>
      </c>
      <c r="F162">
        <v>37</v>
      </c>
      <c r="G162">
        <v>334</v>
      </c>
      <c r="H162" t="s">
        <v>7</v>
      </c>
      <c r="I162">
        <v>8</v>
      </c>
      <c r="J162" t="b">
        <v>1</v>
      </c>
      <c r="K162" t="str">
        <f t="shared" si="2"/>
        <v>del082010</v>
      </c>
      <c r="L162">
        <f>VLOOKUP(K162,BheightCalcs!I$1:M$429, 5, FALSE)</f>
        <v>5.8633500000000005</v>
      </c>
      <c r="M162">
        <f>VLOOKUP(A162, BheightCalcs!P$1:S$39, 4, FALSE)</f>
        <v>8</v>
      </c>
    </row>
    <row r="163" spans="1:13" x14ac:dyDescent="0.2">
      <c r="A163" t="s">
        <v>42</v>
      </c>
      <c r="B163">
        <v>2010</v>
      </c>
      <c r="C163" t="s">
        <v>36</v>
      </c>
      <c r="D163" t="s">
        <v>15</v>
      </c>
      <c r="E163" t="s">
        <v>44</v>
      </c>
      <c r="F163">
        <v>37</v>
      </c>
      <c r="G163">
        <v>334</v>
      </c>
      <c r="H163" t="s">
        <v>7</v>
      </c>
      <c r="I163">
        <v>8</v>
      </c>
      <c r="J163" t="b">
        <v>1</v>
      </c>
      <c r="K163" t="str">
        <f t="shared" si="2"/>
        <v>del082010</v>
      </c>
      <c r="L163">
        <f>VLOOKUP(K163,BheightCalcs!I$1:M$429, 5, FALSE)</f>
        <v>5.8633500000000005</v>
      </c>
      <c r="M163">
        <f>VLOOKUP(A163, BheightCalcs!P$1:S$39, 4, FALSE)</f>
        <v>8</v>
      </c>
    </row>
    <row r="164" spans="1:13" x14ac:dyDescent="0.2">
      <c r="A164" t="s">
        <v>42</v>
      </c>
      <c r="B164">
        <v>2011</v>
      </c>
      <c r="C164" t="s">
        <v>36</v>
      </c>
      <c r="D164" t="s">
        <v>15</v>
      </c>
      <c r="E164" t="s">
        <v>44</v>
      </c>
      <c r="F164">
        <v>42</v>
      </c>
      <c r="G164">
        <v>335</v>
      </c>
      <c r="H164" t="s">
        <v>7</v>
      </c>
      <c r="I164">
        <v>8</v>
      </c>
      <c r="J164" t="b">
        <v>1</v>
      </c>
      <c r="K164" t="str">
        <f t="shared" si="2"/>
        <v>del082011</v>
      </c>
      <c r="L164">
        <f>VLOOKUP(K164,BheightCalcs!I$1:M$429, 5, FALSE)</f>
        <v>6.5621</v>
      </c>
      <c r="M164">
        <f>VLOOKUP(A164, BheightCalcs!P$1:S$39, 4, FALSE)</f>
        <v>8</v>
      </c>
    </row>
    <row r="165" spans="1:13" x14ac:dyDescent="0.2">
      <c r="A165" t="s">
        <v>42</v>
      </c>
      <c r="B165">
        <v>2011</v>
      </c>
      <c r="C165" t="s">
        <v>36</v>
      </c>
      <c r="D165" t="s">
        <v>12</v>
      </c>
      <c r="E165" t="s">
        <v>43</v>
      </c>
      <c r="F165">
        <v>42</v>
      </c>
      <c r="G165">
        <v>335</v>
      </c>
      <c r="H165" t="s">
        <v>7</v>
      </c>
      <c r="I165">
        <v>8</v>
      </c>
      <c r="J165" t="b">
        <v>1</v>
      </c>
      <c r="K165" t="str">
        <f t="shared" si="2"/>
        <v>del082011</v>
      </c>
      <c r="L165">
        <f>VLOOKUP(K165,BheightCalcs!I$1:M$429, 5, FALSE)</f>
        <v>6.5621</v>
      </c>
      <c r="M165">
        <f>VLOOKUP(A165, BheightCalcs!P$1:S$39, 4, FALSE)</f>
        <v>8</v>
      </c>
    </row>
    <row r="166" spans="1:13" x14ac:dyDescent="0.2">
      <c r="A166" t="s">
        <v>42</v>
      </c>
      <c r="B166">
        <v>2012</v>
      </c>
      <c r="C166" t="s">
        <v>36</v>
      </c>
      <c r="D166" t="s">
        <v>15</v>
      </c>
      <c r="E166" t="s">
        <v>44</v>
      </c>
      <c r="F166">
        <v>80</v>
      </c>
      <c r="G166">
        <v>324</v>
      </c>
      <c r="H166" t="s">
        <v>7</v>
      </c>
      <c r="I166">
        <v>8</v>
      </c>
      <c r="J166" t="b">
        <v>1</v>
      </c>
      <c r="K166" t="str">
        <f t="shared" si="2"/>
        <v>del082012</v>
      </c>
      <c r="L166">
        <f>VLOOKUP(K166,BheightCalcs!I$1:M$429, 5, FALSE)</f>
        <v>7.2431999999999999</v>
      </c>
      <c r="M166">
        <f>VLOOKUP(A166, BheightCalcs!P$1:S$39, 4, FALSE)</f>
        <v>8</v>
      </c>
    </row>
    <row r="167" spans="1:13" x14ac:dyDescent="0.2">
      <c r="A167" t="s">
        <v>42</v>
      </c>
      <c r="B167">
        <v>2012</v>
      </c>
      <c r="C167" t="s">
        <v>36</v>
      </c>
      <c r="D167" t="s">
        <v>12</v>
      </c>
      <c r="E167" t="s">
        <v>43</v>
      </c>
      <c r="F167">
        <v>80</v>
      </c>
      <c r="G167">
        <v>324</v>
      </c>
      <c r="H167" t="s">
        <v>7</v>
      </c>
      <c r="I167">
        <v>8</v>
      </c>
      <c r="J167" t="b">
        <v>1</v>
      </c>
      <c r="K167" t="str">
        <f t="shared" si="2"/>
        <v>del082012</v>
      </c>
      <c r="L167">
        <f>VLOOKUP(K167,BheightCalcs!I$1:M$429, 5, FALSE)</f>
        <v>7.2431999999999999</v>
      </c>
      <c r="M167">
        <f>VLOOKUP(A167, BheightCalcs!P$1:S$39, 4, FALSE)</f>
        <v>8</v>
      </c>
    </row>
    <row r="168" spans="1:13" x14ac:dyDescent="0.2">
      <c r="A168" t="s">
        <v>42</v>
      </c>
      <c r="B168">
        <v>2013</v>
      </c>
      <c r="C168" t="s">
        <v>36</v>
      </c>
      <c r="D168" t="s">
        <v>15</v>
      </c>
      <c r="E168" t="s">
        <v>44</v>
      </c>
      <c r="F168">
        <v>29</v>
      </c>
      <c r="G168">
        <v>325</v>
      </c>
      <c r="H168" t="s">
        <v>7</v>
      </c>
      <c r="I168">
        <v>8</v>
      </c>
      <c r="J168" t="b">
        <v>1</v>
      </c>
      <c r="K168" t="str">
        <f t="shared" si="2"/>
        <v>del082013</v>
      </c>
      <c r="L168">
        <f>VLOOKUP(K168,BheightCalcs!I$1:M$429, 5, FALSE)</f>
        <v>8</v>
      </c>
      <c r="M168">
        <f>VLOOKUP(A168, BheightCalcs!P$1:S$39, 4, FALSE)</f>
        <v>8</v>
      </c>
    </row>
    <row r="169" spans="1:13" x14ac:dyDescent="0.2">
      <c r="A169" t="s">
        <v>42</v>
      </c>
      <c r="B169">
        <v>2013</v>
      </c>
      <c r="C169" t="s">
        <v>36</v>
      </c>
      <c r="D169" t="s">
        <v>12</v>
      </c>
      <c r="E169" t="s">
        <v>43</v>
      </c>
      <c r="F169">
        <v>29</v>
      </c>
      <c r="G169">
        <v>325</v>
      </c>
      <c r="H169" t="s">
        <v>7</v>
      </c>
      <c r="I169">
        <v>8</v>
      </c>
      <c r="J169" t="b">
        <v>1</v>
      </c>
      <c r="K169" t="str">
        <f t="shared" si="2"/>
        <v>del082013</v>
      </c>
      <c r="L169">
        <f>VLOOKUP(K169,BheightCalcs!I$1:M$429, 5, FALSE)</f>
        <v>8</v>
      </c>
      <c r="M169">
        <f>VLOOKUP(A169, BheightCalcs!P$1:S$39, 4, FALSE)</f>
        <v>8</v>
      </c>
    </row>
    <row r="170" spans="1:13" x14ac:dyDescent="0.2">
      <c r="A170" t="s">
        <v>45</v>
      </c>
      <c r="B170">
        <v>2003</v>
      </c>
      <c r="C170" t="s">
        <v>36</v>
      </c>
      <c r="D170" t="s">
        <v>12</v>
      </c>
      <c r="E170" t="s">
        <v>47</v>
      </c>
      <c r="F170">
        <v>29</v>
      </c>
      <c r="G170">
        <v>323</v>
      </c>
      <c r="H170" t="s">
        <v>7</v>
      </c>
      <c r="I170">
        <v>6</v>
      </c>
      <c r="J170" t="b">
        <v>1</v>
      </c>
      <c r="K170" t="str">
        <f t="shared" si="2"/>
        <v>del092003</v>
      </c>
      <c r="L170">
        <f>VLOOKUP(K170,BheightCalcs!I$1:M$429, 5, FALSE)</f>
        <v>1.6181999999999981</v>
      </c>
      <c r="M170">
        <f>VLOOKUP(A170, BheightCalcs!P$1:S$39, 4, FALSE)</f>
        <v>10</v>
      </c>
    </row>
    <row r="171" spans="1:13" x14ac:dyDescent="0.2">
      <c r="A171" t="s">
        <v>45</v>
      </c>
      <c r="B171">
        <v>2003</v>
      </c>
      <c r="C171" t="s">
        <v>36</v>
      </c>
      <c r="D171" t="s">
        <v>15</v>
      </c>
      <c r="E171" t="s">
        <v>46</v>
      </c>
      <c r="F171">
        <v>29</v>
      </c>
      <c r="G171">
        <v>323</v>
      </c>
      <c r="H171" t="s">
        <v>7</v>
      </c>
      <c r="I171">
        <v>6</v>
      </c>
      <c r="J171" t="b">
        <v>1</v>
      </c>
      <c r="K171" t="str">
        <f t="shared" si="2"/>
        <v>del092003</v>
      </c>
      <c r="L171">
        <f>VLOOKUP(K171,BheightCalcs!I$1:M$429, 5, FALSE)</f>
        <v>1.6181999999999981</v>
      </c>
      <c r="M171">
        <f>VLOOKUP(A171, BheightCalcs!P$1:S$39, 4, FALSE)</f>
        <v>10</v>
      </c>
    </row>
    <row r="172" spans="1:13" x14ac:dyDescent="0.2">
      <c r="A172" t="s">
        <v>45</v>
      </c>
      <c r="B172">
        <v>2004</v>
      </c>
      <c r="C172" t="s">
        <v>36</v>
      </c>
      <c r="D172" t="s">
        <v>12</v>
      </c>
      <c r="E172" t="s">
        <v>47</v>
      </c>
      <c r="F172">
        <v>49</v>
      </c>
      <c r="G172">
        <v>296</v>
      </c>
      <c r="H172" t="s">
        <v>7</v>
      </c>
      <c r="I172">
        <v>6</v>
      </c>
      <c r="J172" t="b">
        <v>1</v>
      </c>
      <c r="K172" t="str">
        <f t="shared" si="2"/>
        <v>del092004</v>
      </c>
      <c r="L172">
        <f>VLOOKUP(K172,BheightCalcs!I$1:M$429, 5, FALSE)</f>
        <v>2.0394499999999982</v>
      </c>
      <c r="M172">
        <f>VLOOKUP(A172, BheightCalcs!P$1:S$39, 4, FALSE)</f>
        <v>10</v>
      </c>
    </row>
    <row r="173" spans="1:13" x14ac:dyDescent="0.2">
      <c r="A173" t="s">
        <v>45</v>
      </c>
      <c r="B173">
        <v>2004</v>
      </c>
      <c r="C173" t="s">
        <v>36</v>
      </c>
      <c r="D173" t="s">
        <v>15</v>
      </c>
      <c r="E173" t="s">
        <v>46</v>
      </c>
      <c r="F173">
        <v>49</v>
      </c>
      <c r="G173">
        <v>296</v>
      </c>
      <c r="H173" t="s">
        <v>7</v>
      </c>
      <c r="I173">
        <v>6</v>
      </c>
      <c r="J173" t="b">
        <v>1</v>
      </c>
      <c r="K173" t="str">
        <f t="shared" si="2"/>
        <v>del092004</v>
      </c>
      <c r="L173">
        <f>VLOOKUP(K173,BheightCalcs!I$1:M$429, 5, FALSE)</f>
        <v>2.0394499999999982</v>
      </c>
      <c r="M173">
        <f>VLOOKUP(A173, BheightCalcs!P$1:S$39, 4, FALSE)</f>
        <v>10</v>
      </c>
    </row>
    <row r="174" spans="1:13" x14ac:dyDescent="0.2">
      <c r="A174" t="s">
        <v>45</v>
      </c>
      <c r="B174">
        <v>2005</v>
      </c>
      <c r="C174" t="s">
        <v>36</v>
      </c>
      <c r="D174" t="s">
        <v>12</v>
      </c>
      <c r="E174" t="s">
        <v>47</v>
      </c>
      <c r="F174">
        <v>42</v>
      </c>
      <c r="G174">
        <v>326</v>
      </c>
      <c r="H174" t="s">
        <v>7</v>
      </c>
      <c r="I174">
        <v>6</v>
      </c>
      <c r="J174" t="b">
        <v>1</v>
      </c>
      <c r="K174" t="str">
        <f t="shared" si="2"/>
        <v>del092005</v>
      </c>
      <c r="L174">
        <f>VLOOKUP(K174,BheightCalcs!I$1:M$429, 5, FALSE)</f>
        <v>2.6146499999999984</v>
      </c>
      <c r="M174">
        <f>VLOOKUP(A174, BheightCalcs!P$1:S$39, 4, FALSE)</f>
        <v>10</v>
      </c>
    </row>
    <row r="175" spans="1:13" x14ac:dyDescent="0.2">
      <c r="A175" t="s">
        <v>45</v>
      </c>
      <c r="B175">
        <v>2005</v>
      </c>
      <c r="C175" t="s">
        <v>36</v>
      </c>
      <c r="D175" t="s">
        <v>15</v>
      </c>
      <c r="E175" t="s">
        <v>46</v>
      </c>
      <c r="F175">
        <v>42</v>
      </c>
      <c r="G175">
        <v>326</v>
      </c>
      <c r="H175" t="s">
        <v>7</v>
      </c>
      <c r="I175">
        <v>6</v>
      </c>
      <c r="J175" t="b">
        <v>1</v>
      </c>
      <c r="K175" t="str">
        <f t="shared" si="2"/>
        <v>del092005</v>
      </c>
      <c r="L175">
        <f>VLOOKUP(K175,BheightCalcs!I$1:M$429, 5, FALSE)</f>
        <v>2.6146499999999984</v>
      </c>
      <c r="M175">
        <f>VLOOKUP(A175, BheightCalcs!P$1:S$39, 4, FALSE)</f>
        <v>10</v>
      </c>
    </row>
    <row r="176" spans="1:13" x14ac:dyDescent="0.2">
      <c r="A176" t="s">
        <v>45</v>
      </c>
      <c r="B176">
        <v>2006</v>
      </c>
      <c r="C176" t="s">
        <v>36</v>
      </c>
      <c r="D176" t="s">
        <v>12</v>
      </c>
      <c r="E176" t="s">
        <v>47</v>
      </c>
      <c r="F176">
        <v>23</v>
      </c>
      <c r="G176">
        <v>326</v>
      </c>
      <c r="H176" t="s">
        <v>7</v>
      </c>
      <c r="I176">
        <v>6</v>
      </c>
      <c r="J176" t="b">
        <v>1</v>
      </c>
      <c r="K176" t="str">
        <f t="shared" si="2"/>
        <v>del092006</v>
      </c>
      <c r="L176">
        <f>VLOOKUP(K176,BheightCalcs!I$1:M$429, 5, FALSE)</f>
        <v>3.2553499999999986</v>
      </c>
      <c r="M176">
        <f>VLOOKUP(A176, BheightCalcs!P$1:S$39, 4, FALSE)</f>
        <v>10</v>
      </c>
    </row>
    <row r="177" spans="1:13" x14ac:dyDescent="0.2">
      <c r="A177" t="s">
        <v>45</v>
      </c>
      <c r="B177">
        <v>2006</v>
      </c>
      <c r="C177" t="s">
        <v>36</v>
      </c>
      <c r="D177" t="s">
        <v>15</v>
      </c>
      <c r="E177" t="s">
        <v>46</v>
      </c>
      <c r="F177">
        <v>23</v>
      </c>
      <c r="G177">
        <v>326</v>
      </c>
      <c r="H177" t="s">
        <v>7</v>
      </c>
      <c r="I177">
        <v>6</v>
      </c>
      <c r="J177" t="b">
        <v>1</v>
      </c>
      <c r="K177" t="str">
        <f t="shared" si="2"/>
        <v>del092006</v>
      </c>
      <c r="L177">
        <f>VLOOKUP(K177,BheightCalcs!I$1:M$429, 5, FALSE)</f>
        <v>3.2553499999999986</v>
      </c>
      <c r="M177">
        <f>VLOOKUP(A177, BheightCalcs!P$1:S$39, 4, FALSE)</f>
        <v>10</v>
      </c>
    </row>
    <row r="178" spans="1:13" x14ac:dyDescent="0.2">
      <c r="A178" t="s">
        <v>45</v>
      </c>
      <c r="B178">
        <v>2007</v>
      </c>
      <c r="C178" t="s">
        <v>36</v>
      </c>
      <c r="D178" t="s">
        <v>15</v>
      </c>
      <c r="E178" t="s">
        <v>46</v>
      </c>
      <c r="F178">
        <v>19</v>
      </c>
      <c r="G178">
        <v>328</v>
      </c>
      <c r="H178" t="s">
        <v>7</v>
      </c>
      <c r="I178">
        <v>6</v>
      </c>
      <c r="J178" t="b">
        <v>1</v>
      </c>
      <c r="K178" t="str">
        <f t="shared" si="2"/>
        <v>del092007</v>
      </c>
      <c r="L178">
        <f>VLOOKUP(K178,BheightCalcs!I$1:M$429, 5, FALSE)</f>
        <v>3.5883499999999988</v>
      </c>
      <c r="M178">
        <f>VLOOKUP(A178, BheightCalcs!P$1:S$39, 4, FALSE)</f>
        <v>10</v>
      </c>
    </row>
    <row r="179" spans="1:13" x14ac:dyDescent="0.2">
      <c r="A179" t="s">
        <v>45</v>
      </c>
      <c r="B179">
        <v>2007</v>
      </c>
      <c r="C179" t="s">
        <v>36</v>
      </c>
      <c r="D179" t="s">
        <v>12</v>
      </c>
      <c r="E179" t="s">
        <v>47</v>
      </c>
      <c r="F179">
        <v>19</v>
      </c>
      <c r="G179">
        <v>328</v>
      </c>
      <c r="H179" t="s">
        <v>7</v>
      </c>
      <c r="I179">
        <v>6</v>
      </c>
      <c r="J179" t="b">
        <v>1</v>
      </c>
      <c r="K179" t="str">
        <f t="shared" si="2"/>
        <v>del092007</v>
      </c>
      <c r="L179">
        <f>VLOOKUP(K179,BheightCalcs!I$1:M$429, 5, FALSE)</f>
        <v>3.5883499999999988</v>
      </c>
      <c r="M179">
        <f>VLOOKUP(A179, BheightCalcs!P$1:S$39, 4, FALSE)</f>
        <v>10</v>
      </c>
    </row>
    <row r="180" spans="1:13" x14ac:dyDescent="0.2">
      <c r="A180" t="s">
        <v>45</v>
      </c>
      <c r="B180">
        <v>2008</v>
      </c>
      <c r="C180" t="s">
        <v>36</v>
      </c>
      <c r="D180" t="s">
        <v>12</v>
      </c>
      <c r="E180" t="s">
        <v>47</v>
      </c>
      <c r="F180">
        <v>41</v>
      </c>
      <c r="G180">
        <v>302</v>
      </c>
      <c r="H180" t="s">
        <v>7</v>
      </c>
      <c r="I180">
        <v>6</v>
      </c>
      <c r="J180" t="b">
        <v>1</v>
      </c>
      <c r="K180" t="str">
        <f t="shared" si="2"/>
        <v>del092008</v>
      </c>
      <c r="L180">
        <f>VLOOKUP(K180,BheightCalcs!I$1:M$429, 5, FALSE)</f>
        <v>4.0096499999999988</v>
      </c>
      <c r="M180">
        <f>VLOOKUP(A180, BheightCalcs!P$1:S$39, 4, FALSE)</f>
        <v>10</v>
      </c>
    </row>
    <row r="181" spans="1:13" x14ac:dyDescent="0.2">
      <c r="A181" t="s">
        <v>45</v>
      </c>
      <c r="B181">
        <v>2008</v>
      </c>
      <c r="C181" t="s">
        <v>36</v>
      </c>
      <c r="D181" t="s">
        <v>15</v>
      </c>
      <c r="E181" t="s">
        <v>46</v>
      </c>
      <c r="F181">
        <v>41</v>
      </c>
      <c r="G181">
        <v>302</v>
      </c>
      <c r="H181" t="s">
        <v>7</v>
      </c>
      <c r="I181">
        <v>6</v>
      </c>
      <c r="J181" t="b">
        <v>1</v>
      </c>
      <c r="K181" t="str">
        <f t="shared" si="2"/>
        <v>del092008</v>
      </c>
      <c r="L181">
        <f>VLOOKUP(K181,BheightCalcs!I$1:M$429, 5, FALSE)</f>
        <v>4.0096499999999988</v>
      </c>
      <c r="M181">
        <f>VLOOKUP(A181, BheightCalcs!P$1:S$39, 4, FALSE)</f>
        <v>10</v>
      </c>
    </row>
    <row r="182" spans="1:13" x14ac:dyDescent="0.2">
      <c r="A182" t="s">
        <v>45</v>
      </c>
      <c r="B182">
        <v>2009</v>
      </c>
      <c r="C182" t="s">
        <v>36</v>
      </c>
      <c r="D182" t="s">
        <v>15</v>
      </c>
      <c r="E182" t="s">
        <v>46</v>
      </c>
      <c r="F182">
        <v>43</v>
      </c>
      <c r="G182">
        <v>331</v>
      </c>
      <c r="H182" t="s">
        <v>7</v>
      </c>
      <c r="I182">
        <v>6</v>
      </c>
      <c r="J182" t="b">
        <v>1</v>
      </c>
      <c r="K182" t="str">
        <f t="shared" si="2"/>
        <v>del092009</v>
      </c>
      <c r="L182">
        <f>VLOOKUP(K182,BheightCalcs!I$1:M$429, 5, FALSE)</f>
        <v>4.3905499999999993</v>
      </c>
      <c r="M182">
        <f>VLOOKUP(A182, BheightCalcs!P$1:S$39, 4, FALSE)</f>
        <v>10</v>
      </c>
    </row>
    <row r="183" spans="1:13" x14ac:dyDescent="0.2">
      <c r="A183" t="s">
        <v>45</v>
      </c>
      <c r="B183">
        <v>2009</v>
      </c>
      <c r="C183" t="s">
        <v>36</v>
      </c>
      <c r="D183" t="s">
        <v>12</v>
      </c>
      <c r="E183" t="s">
        <v>47</v>
      </c>
      <c r="F183">
        <v>43</v>
      </c>
      <c r="G183">
        <v>331</v>
      </c>
      <c r="H183" t="s">
        <v>7</v>
      </c>
      <c r="I183">
        <v>6</v>
      </c>
      <c r="J183" t="b">
        <v>1</v>
      </c>
      <c r="K183" t="str">
        <f t="shared" si="2"/>
        <v>del092009</v>
      </c>
      <c r="L183">
        <f>VLOOKUP(K183,BheightCalcs!I$1:M$429, 5, FALSE)</f>
        <v>4.3905499999999993</v>
      </c>
      <c r="M183">
        <f>VLOOKUP(A183, BheightCalcs!P$1:S$39, 4, FALSE)</f>
        <v>10</v>
      </c>
    </row>
    <row r="184" spans="1:13" x14ac:dyDescent="0.2">
      <c r="A184" t="s">
        <v>45</v>
      </c>
      <c r="B184">
        <v>2010</v>
      </c>
      <c r="C184" t="s">
        <v>36</v>
      </c>
      <c r="D184" t="s">
        <v>12</v>
      </c>
      <c r="E184" t="s">
        <v>47</v>
      </c>
      <c r="F184">
        <v>37</v>
      </c>
      <c r="G184">
        <v>334</v>
      </c>
      <c r="H184" t="s">
        <v>7</v>
      </c>
      <c r="I184">
        <v>6</v>
      </c>
      <c r="J184" t="b">
        <v>1</v>
      </c>
      <c r="K184" t="str">
        <f t="shared" si="2"/>
        <v>del092010</v>
      </c>
      <c r="L184">
        <f>VLOOKUP(K184,BheightCalcs!I$1:M$429, 5, FALSE)</f>
        <v>4.8370499999999996</v>
      </c>
      <c r="M184">
        <f>VLOOKUP(A184, BheightCalcs!P$1:S$39, 4, FALSE)</f>
        <v>10</v>
      </c>
    </row>
    <row r="185" spans="1:13" x14ac:dyDescent="0.2">
      <c r="A185" t="s">
        <v>45</v>
      </c>
      <c r="B185">
        <v>2010</v>
      </c>
      <c r="C185" t="s">
        <v>36</v>
      </c>
      <c r="D185" t="s">
        <v>15</v>
      </c>
      <c r="E185" t="s">
        <v>46</v>
      </c>
      <c r="F185">
        <v>37</v>
      </c>
      <c r="G185">
        <v>334</v>
      </c>
      <c r="H185" t="s">
        <v>7</v>
      </c>
      <c r="I185">
        <v>6</v>
      </c>
      <c r="J185" t="b">
        <v>1</v>
      </c>
      <c r="K185" t="str">
        <f t="shared" si="2"/>
        <v>del092010</v>
      </c>
      <c r="L185">
        <f>VLOOKUP(K185,BheightCalcs!I$1:M$429, 5, FALSE)</f>
        <v>4.8370499999999996</v>
      </c>
      <c r="M185">
        <f>VLOOKUP(A185, BheightCalcs!P$1:S$39, 4, FALSE)</f>
        <v>10</v>
      </c>
    </row>
    <row r="186" spans="1:13" x14ac:dyDescent="0.2">
      <c r="A186" t="s">
        <v>45</v>
      </c>
      <c r="B186">
        <v>2011</v>
      </c>
      <c r="C186" t="s">
        <v>36</v>
      </c>
      <c r="D186" t="s">
        <v>12</v>
      </c>
      <c r="E186" t="s">
        <v>47</v>
      </c>
      <c r="F186">
        <v>42</v>
      </c>
      <c r="G186">
        <v>335</v>
      </c>
      <c r="H186" t="s">
        <v>7</v>
      </c>
      <c r="I186">
        <v>6</v>
      </c>
      <c r="J186" t="b">
        <v>1</v>
      </c>
      <c r="K186" t="str">
        <f t="shared" si="2"/>
        <v>del092011</v>
      </c>
      <c r="L186">
        <f>VLOOKUP(K186,BheightCalcs!I$1:M$429, 5, FALSE)</f>
        <v>5.07925</v>
      </c>
      <c r="M186">
        <f>VLOOKUP(A186, BheightCalcs!P$1:S$39, 4, FALSE)</f>
        <v>10</v>
      </c>
    </row>
    <row r="187" spans="1:13" x14ac:dyDescent="0.2">
      <c r="A187" t="s">
        <v>45</v>
      </c>
      <c r="B187">
        <v>2011</v>
      </c>
      <c r="C187" t="s">
        <v>36</v>
      </c>
      <c r="D187" t="s">
        <v>15</v>
      </c>
      <c r="E187" t="s">
        <v>46</v>
      </c>
      <c r="F187">
        <v>42</v>
      </c>
      <c r="G187">
        <v>335</v>
      </c>
      <c r="H187" t="s">
        <v>7</v>
      </c>
      <c r="I187">
        <v>6</v>
      </c>
      <c r="J187" t="b">
        <v>1</v>
      </c>
      <c r="K187" t="str">
        <f t="shared" si="2"/>
        <v>del092011</v>
      </c>
      <c r="L187">
        <f>VLOOKUP(K187,BheightCalcs!I$1:M$429, 5, FALSE)</f>
        <v>5.07925</v>
      </c>
      <c r="M187">
        <f>VLOOKUP(A187, BheightCalcs!P$1:S$39, 4, FALSE)</f>
        <v>10</v>
      </c>
    </row>
    <row r="188" spans="1:13" x14ac:dyDescent="0.2">
      <c r="A188" t="s">
        <v>45</v>
      </c>
      <c r="B188">
        <v>2012</v>
      </c>
      <c r="C188" t="s">
        <v>36</v>
      </c>
      <c r="D188" t="s">
        <v>15</v>
      </c>
      <c r="E188" t="s">
        <v>46</v>
      </c>
      <c r="F188">
        <v>80</v>
      </c>
      <c r="G188">
        <v>324</v>
      </c>
      <c r="H188" t="s">
        <v>7</v>
      </c>
      <c r="I188">
        <v>6</v>
      </c>
      <c r="J188" t="b">
        <v>1</v>
      </c>
      <c r="K188" t="str">
        <f t="shared" si="2"/>
        <v>del092012</v>
      </c>
      <c r="L188">
        <f>VLOOKUP(K188,BheightCalcs!I$1:M$429, 5, FALSE)</f>
        <v>5.3617499999999998</v>
      </c>
      <c r="M188">
        <f>VLOOKUP(A188, BheightCalcs!P$1:S$39, 4, FALSE)</f>
        <v>10</v>
      </c>
    </row>
    <row r="189" spans="1:13" x14ac:dyDescent="0.2">
      <c r="A189" t="s">
        <v>45</v>
      </c>
      <c r="B189">
        <v>2012</v>
      </c>
      <c r="C189" t="s">
        <v>36</v>
      </c>
      <c r="D189" t="s">
        <v>12</v>
      </c>
      <c r="E189" t="s">
        <v>47</v>
      </c>
      <c r="F189">
        <v>80</v>
      </c>
      <c r="G189">
        <v>324</v>
      </c>
      <c r="H189" t="s">
        <v>7</v>
      </c>
      <c r="I189">
        <v>6</v>
      </c>
      <c r="J189" t="b">
        <v>1</v>
      </c>
      <c r="K189" t="str">
        <f t="shared" si="2"/>
        <v>del092012</v>
      </c>
      <c r="L189">
        <f>VLOOKUP(K189,BheightCalcs!I$1:M$429, 5, FALSE)</f>
        <v>5.3617499999999998</v>
      </c>
      <c r="M189">
        <f>VLOOKUP(A189, BheightCalcs!P$1:S$39, 4, FALSE)</f>
        <v>10</v>
      </c>
    </row>
    <row r="190" spans="1:13" x14ac:dyDescent="0.2">
      <c r="A190" t="s">
        <v>45</v>
      </c>
      <c r="B190">
        <v>2013</v>
      </c>
      <c r="C190" t="s">
        <v>36</v>
      </c>
      <c r="D190" t="s">
        <v>15</v>
      </c>
      <c r="E190" t="s">
        <v>46</v>
      </c>
      <c r="F190">
        <v>29</v>
      </c>
      <c r="G190">
        <v>325</v>
      </c>
      <c r="H190" t="s">
        <v>7</v>
      </c>
      <c r="I190">
        <v>6</v>
      </c>
      <c r="J190" t="b">
        <v>1</v>
      </c>
      <c r="K190" t="str">
        <f t="shared" si="2"/>
        <v>del092013</v>
      </c>
      <c r="L190">
        <f>VLOOKUP(K190,BheightCalcs!I$1:M$429, 5, FALSE)</f>
        <v>6</v>
      </c>
      <c r="M190">
        <f>VLOOKUP(A190, BheightCalcs!P$1:S$39, 4, FALSE)</f>
        <v>10</v>
      </c>
    </row>
    <row r="191" spans="1:13" x14ac:dyDescent="0.2">
      <c r="A191" t="s">
        <v>45</v>
      </c>
      <c r="B191">
        <v>2013</v>
      </c>
      <c r="C191" t="s">
        <v>36</v>
      </c>
      <c r="D191" t="s">
        <v>12</v>
      </c>
      <c r="E191" t="s">
        <v>47</v>
      </c>
      <c r="F191">
        <v>29</v>
      </c>
      <c r="G191">
        <v>325</v>
      </c>
      <c r="H191" t="s">
        <v>7</v>
      </c>
      <c r="I191">
        <v>6</v>
      </c>
      <c r="J191" t="b">
        <v>1</v>
      </c>
      <c r="K191" t="str">
        <f t="shared" si="2"/>
        <v>del092013</v>
      </c>
      <c r="L191">
        <f>VLOOKUP(K191,BheightCalcs!I$1:M$429, 5, FALSE)</f>
        <v>6</v>
      </c>
      <c r="M191">
        <f>VLOOKUP(A191, BheightCalcs!P$1:S$39, 4, FALSE)</f>
        <v>10</v>
      </c>
    </row>
    <row r="192" spans="1:13" x14ac:dyDescent="0.2">
      <c r="A192" t="s">
        <v>48</v>
      </c>
      <c r="B192">
        <v>2004</v>
      </c>
      <c r="C192" t="s">
        <v>36</v>
      </c>
      <c r="D192" t="s">
        <v>15</v>
      </c>
      <c r="E192" t="s">
        <v>50</v>
      </c>
      <c r="F192">
        <v>49</v>
      </c>
      <c r="G192">
        <v>296</v>
      </c>
      <c r="H192" t="s">
        <v>7</v>
      </c>
      <c r="I192">
        <v>12</v>
      </c>
      <c r="J192" t="b">
        <v>1</v>
      </c>
      <c r="K192" t="str">
        <f t="shared" si="2"/>
        <v>del122004</v>
      </c>
      <c r="L192">
        <f>VLOOKUP(K192,BheightCalcs!I$1:M$429, 5, FALSE)</f>
        <v>4.9970999999999988</v>
      </c>
      <c r="M192">
        <f>VLOOKUP(A192, BheightCalcs!P$1:S$39, 4, FALSE)</f>
        <v>9</v>
      </c>
    </row>
    <row r="193" spans="1:13" x14ac:dyDescent="0.2">
      <c r="A193" t="s">
        <v>48</v>
      </c>
      <c r="B193">
        <v>2005</v>
      </c>
      <c r="C193" t="s">
        <v>36</v>
      </c>
      <c r="D193" t="s">
        <v>15</v>
      </c>
      <c r="E193" t="s">
        <v>50</v>
      </c>
      <c r="F193">
        <v>42</v>
      </c>
      <c r="G193">
        <v>326</v>
      </c>
      <c r="H193" t="s">
        <v>7</v>
      </c>
      <c r="I193">
        <v>12</v>
      </c>
      <c r="J193" t="b">
        <v>1</v>
      </c>
      <c r="K193" t="str">
        <f t="shared" si="2"/>
        <v>del122005</v>
      </c>
      <c r="L193">
        <f>VLOOKUP(K193,BheightCalcs!I$1:M$429, 5, FALSE)</f>
        <v>5.6277999999999988</v>
      </c>
      <c r="M193">
        <f>VLOOKUP(A193, BheightCalcs!P$1:S$39, 4, FALSE)</f>
        <v>9</v>
      </c>
    </row>
    <row r="194" spans="1:13" x14ac:dyDescent="0.2">
      <c r="A194" t="s">
        <v>48</v>
      </c>
      <c r="B194">
        <v>2006</v>
      </c>
      <c r="C194" t="s">
        <v>36</v>
      </c>
      <c r="D194" t="s">
        <v>12</v>
      </c>
      <c r="E194" t="s">
        <v>49</v>
      </c>
      <c r="F194">
        <v>23</v>
      </c>
      <c r="G194">
        <v>326</v>
      </c>
      <c r="H194" t="s">
        <v>7</v>
      </c>
      <c r="I194">
        <v>12</v>
      </c>
      <c r="J194" t="b">
        <v>1</v>
      </c>
      <c r="K194" t="str">
        <f t="shared" si="2"/>
        <v>del122006</v>
      </c>
      <c r="L194">
        <f>VLOOKUP(K194,BheightCalcs!I$1:M$429, 5, FALSE)</f>
        <v>6.4300499999999987</v>
      </c>
      <c r="M194">
        <f>VLOOKUP(A194, BheightCalcs!P$1:S$39, 4, FALSE)</f>
        <v>9</v>
      </c>
    </row>
    <row r="195" spans="1:13" x14ac:dyDescent="0.2">
      <c r="A195" t="s">
        <v>48</v>
      </c>
      <c r="B195">
        <v>2006</v>
      </c>
      <c r="C195" t="s">
        <v>36</v>
      </c>
      <c r="D195" t="s">
        <v>15</v>
      </c>
      <c r="E195" t="s">
        <v>50</v>
      </c>
      <c r="F195">
        <v>23</v>
      </c>
      <c r="G195">
        <v>326</v>
      </c>
      <c r="H195" t="s">
        <v>7</v>
      </c>
      <c r="I195">
        <v>12</v>
      </c>
      <c r="J195" t="b">
        <v>1</v>
      </c>
      <c r="K195" t="str">
        <f t="shared" ref="K195:K258" si="3">CONCATENATE(A195, B195)</f>
        <v>del122006</v>
      </c>
      <c r="L195">
        <f>VLOOKUP(K195,BheightCalcs!I$1:M$429, 5, FALSE)</f>
        <v>6.4300499999999987</v>
      </c>
      <c r="M195">
        <f>VLOOKUP(A195, BheightCalcs!P$1:S$39, 4, FALSE)</f>
        <v>9</v>
      </c>
    </row>
    <row r="196" spans="1:13" x14ac:dyDescent="0.2">
      <c r="A196" t="s">
        <v>48</v>
      </c>
      <c r="B196">
        <v>2007</v>
      </c>
      <c r="C196" t="s">
        <v>36</v>
      </c>
      <c r="D196" t="s">
        <v>12</v>
      </c>
      <c r="E196" t="s">
        <v>49</v>
      </c>
      <c r="F196">
        <v>19</v>
      </c>
      <c r="G196">
        <v>328</v>
      </c>
      <c r="H196" t="s">
        <v>7</v>
      </c>
      <c r="I196">
        <v>12</v>
      </c>
      <c r="J196" t="b">
        <v>1</v>
      </c>
      <c r="K196" t="str">
        <f t="shared" si="3"/>
        <v>del122007</v>
      </c>
      <c r="L196">
        <f>VLOOKUP(K196,BheightCalcs!I$1:M$429, 5, FALSE)</f>
        <v>7.2397999999999989</v>
      </c>
      <c r="M196">
        <f>VLOOKUP(A196, BheightCalcs!P$1:S$39, 4, FALSE)</f>
        <v>9</v>
      </c>
    </row>
    <row r="197" spans="1:13" x14ac:dyDescent="0.2">
      <c r="A197" t="s">
        <v>48</v>
      </c>
      <c r="B197">
        <v>2007</v>
      </c>
      <c r="C197" t="s">
        <v>36</v>
      </c>
      <c r="D197" t="s">
        <v>15</v>
      </c>
      <c r="E197" t="s">
        <v>50</v>
      </c>
      <c r="F197">
        <v>19</v>
      </c>
      <c r="G197">
        <v>328</v>
      </c>
      <c r="H197" t="s">
        <v>7</v>
      </c>
      <c r="I197">
        <v>12</v>
      </c>
      <c r="J197" t="b">
        <v>1</v>
      </c>
      <c r="K197" t="str">
        <f t="shared" si="3"/>
        <v>del122007</v>
      </c>
      <c r="L197">
        <f>VLOOKUP(K197,BheightCalcs!I$1:M$429, 5, FALSE)</f>
        <v>7.2397999999999989</v>
      </c>
      <c r="M197">
        <f>VLOOKUP(A197, BheightCalcs!P$1:S$39, 4, FALSE)</f>
        <v>9</v>
      </c>
    </row>
    <row r="198" spans="1:13" x14ac:dyDescent="0.2">
      <c r="A198" t="s">
        <v>48</v>
      </c>
      <c r="B198">
        <v>2008</v>
      </c>
      <c r="C198" t="s">
        <v>36</v>
      </c>
      <c r="D198" t="s">
        <v>15</v>
      </c>
      <c r="E198" t="s">
        <v>50</v>
      </c>
      <c r="F198">
        <v>41</v>
      </c>
      <c r="G198">
        <v>302</v>
      </c>
      <c r="H198" t="s">
        <v>7</v>
      </c>
      <c r="I198">
        <v>12</v>
      </c>
      <c r="J198" t="b">
        <v>1</v>
      </c>
      <c r="K198" t="str">
        <f t="shared" si="3"/>
        <v>del122008</v>
      </c>
      <c r="L198">
        <f>VLOOKUP(K198,BheightCalcs!I$1:M$429, 5, FALSE)</f>
        <v>8.0848499999999994</v>
      </c>
      <c r="M198">
        <f>VLOOKUP(A198, BheightCalcs!P$1:S$39, 4, FALSE)</f>
        <v>9</v>
      </c>
    </row>
    <row r="199" spans="1:13" x14ac:dyDescent="0.2">
      <c r="A199" t="s">
        <v>48</v>
      </c>
      <c r="B199">
        <v>2008</v>
      </c>
      <c r="C199" t="s">
        <v>36</v>
      </c>
      <c r="D199" t="s">
        <v>12</v>
      </c>
      <c r="E199" t="s">
        <v>49</v>
      </c>
      <c r="F199">
        <v>41</v>
      </c>
      <c r="G199">
        <v>302</v>
      </c>
      <c r="H199" t="s">
        <v>7</v>
      </c>
      <c r="I199">
        <v>12</v>
      </c>
      <c r="J199" t="b">
        <v>1</v>
      </c>
      <c r="K199" t="str">
        <f t="shared" si="3"/>
        <v>del122008</v>
      </c>
      <c r="L199">
        <f>VLOOKUP(K199,BheightCalcs!I$1:M$429, 5, FALSE)</f>
        <v>8.0848499999999994</v>
      </c>
      <c r="M199">
        <f>VLOOKUP(A199, BheightCalcs!P$1:S$39, 4, FALSE)</f>
        <v>9</v>
      </c>
    </row>
    <row r="200" spans="1:13" x14ac:dyDescent="0.2">
      <c r="A200" t="s">
        <v>48</v>
      </c>
      <c r="B200">
        <v>2009</v>
      </c>
      <c r="C200" t="s">
        <v>36</v>
      </c>
      <c r="D200" t="s">
        <v>12</v>
      </c>
      <c r="E200" t="s">
        <v>49</v>
      </c>
      <c r="F200">
        <v>43</v>
      </c>
      <c r="G200">
        <v>331</v>
      </c>
      <c r="H200" t="s">
        <v>7</v>
      </c>
      <c r="I200">
        <v>12</v>
      </c>
      <c r="J200" t="b">
        <v>1</v>
      </c>
      <c r="K200" t="str">
        <f t="shared" si="3"/>
        <v>del122009</v>
      </c>
      <c r="L200">
        <f>VLOOKUP(K200,BheightCalcs!I$1:M$429, 5, FALSE)</f>
        <v>8.8819999999999997</v>
      </c>
      <c r="M200">
        <f>VLOOKUP(A200, BheightCalcs!P$1:S$39, 4, FALSE)</f>
        <v>9</v>
      </c>
    </row>
    <row r="201" spans="1:13" x14ac:dyDescent="0.2">
      <c r="A201" t="s">
        <v>48</v>
      </c>
      <c r="B201">
        <v>2009</v>
      </c>
      <c r="C201" t="s">
        <v>36</v>
      </c>
      <c r="D201" t="s">
        <v>15</v>
      </c>
      <c r="E201" t="s">
        <v>50</v>
      </c>
      <c r="F201">
        <v>43</v>
      </c>
      <c r="G201">
        <v>331</v>
      </c>
      <c r="H201" t="s">
        <v>7</v>
      </c>
      <c r="I201">
        <v>12</v>
      </c>
      <c r="J201" t="b">
        <v>1</v>
      </c>
      <c r="K201" t="str">
        <f t="shared" si="3"/>
        <v>del122009</v>
      </c>
      <c r="L201">
        <f>VLOOKUP(K201,BheightCalcs!I$1:M$429, 5, FALSE)</f>
        <v>8.8819999999999997</v>
      </c>
      <c r="M201">
        <f>VLOOKUP(A201, BheightCalcs!P$1:S$39, 4, FALSE)</f>
        <v>9</v>
      </c>
    </row>
    <row r="202" spans="1:13" x14ac:dyDescent="0.2">
      <c r="A202" t="s">
        <v>48</v>
      </c>
      <c r="B202">
        <v>2010</v>
      </c>
      <c r="C202" t="s">
        <v>36</v>
      </c>
      <c r="D202" t="s">
        <v>15</v>
      </c>
      <c r="E202" t="s">
        <v>50</v>
      </c>
      <c r="F202">
        <v>37</v>
      </c>
      <c r="G202">
        <v>334</v>
      </c>
      <c r="H202" t="s">
        <v>7</v>
      </c>
      <c r="I202">
        <v>12</v>
      </c>
      <c r="J202" t="b">
        <v>1</v>
      </c>
      <c r="K202" t="str">
        <f t="shared" si="3"/>
        <v>del122010</v>
      </c>
      <c r="L202">
        <f>VLOOKUP(K202,BheightCalcs!I$1:M$429, 5, FALSE)</f>
        <v>9.7119499999999999</v>
      </c>
      <c r="M202">
        <f>VLOOKUP(A202, BheightCalcs!P$1:S$39, 4, FALSE)</f>
        <v>9</v>
      </c>
    </row>
    <row r="203" spans="1:13" x14ac:dyDescent="0.2">
      <c r="A203" t="s">
        <v>48</v>
      </c>
      <c r="B203">
        <v>2010</v>
      </c>
      <c r="C203" t="s">
        <v>36</v>
      </c>
      <c r="D203" t="s">
        <v>12</v>
      </c>
      <c r="E203" t="s">
        <v>49</v>
      </c>
      <c r="F203">
        <v>37</v>
      </c>
      <c r="G203">
        <v>334</v>
      </c>
      <c r="H203" t="s">
        <v>7</v>
      </c>
      <c r="I203">
        <v>12</v>
      </c>
      <c r="J203" t="b">
        <v>1</v>
      </c>
      <c r="K203" t="str">
        <f t="shared" si="3"/>
        <v>del122010</v>
      </c>
      <c r="L203">
        <f>VLOOKUP(K203,BheightCalcs!I$1:M$429, 5, FALSE)</f>
        <v>9.7119499999999999</v>
      </c>
      <c r="M203">
        <f>VLOOKUP(A203, BheightCalcs!P$1:S$39, 4, FALSE)</f>
        <v>9</v>
      </c>
    </row>
    <row r="204" spans="1:13" x14ac:dyDescent="0.2">
      <c r="A204" t="s">
        <v>48</v>
      </c>
      <c r="B204">
        <v>2011</v>
      </c>
      <c r="C204" t="s">
        <v>36</v>
      </c>
      <c r="D204" t="s">
        <v>12</v>
      </c>
      <c r="E204" t="s">
        <v>49</v>
      </c>
      <c r="F204">
        <v>42</v>
      </c>
      <c r="G204">
        <v>335</v>
      </c>
      <c r="H204" t="s">
        <v>7</v>
      </c>
      <c r="I204">
        <v>12</v>
      </c>
      <c r="J204" t="b">
        <v>1</v>
      </c>
      <c r="K204" t="str">
        <f t="shared" si="3"/>
        <v>del122011</v>
      </c>
      <c r="L204">
        <f>VLOOKUP(K204,BheightCalcs!I$1:M$429, 5, FALSE)</f>
        <v>10.577199999999999</v>
      </c>
      <c r="M204">
        <f>VLOOKUP(A204, BheightCalcs!P$1:S$39, 4, FALSE)</f>
        <v>9</v>
      </c>
    </row>
    <row r="205" spans="1:13" x14ac:dyDescent="0.2">
      <c r="A205" t="s">
        <v>48</v>
      </c>
      <c r="B205">
        <v>2011</v>
      </c>
      <c r="C205" t="s">
        <v>36</v>
      </c>
      <c r="D205" t="s">
        <v>15</v>
      </c>
      <c r="E205" t="s">
        <v>50</v>
      </c>
      <c r="F205">
        <v>42</v>
      </c>
      <c r="G205">
        <v>335</v>
      </c>
      <c r="H205" t="s">
        <v>7</v>
      </c>
      <c r="I205">
        <v>12</v>
      </c>
      <c r="J205" t="b">
        <v>1</v>
      </c>
      <c r="K205" t="str">
        <f t="shared" si="3"/>
        <v>del122011</v>
      </c>
      <c r="L205">
        <f>VLOOKUP(K205,BheightCalcs!I$1:M$429, 5, FALSE)</f>
        <v>10.577199999999999</v>
      </c>
      <c r="M205">
        <f>VLOOKUP(A205, BheightCalcs!P$1:S$39, 4, FALSE)</f>
        <v>9</v>
      </c>
    </row>
    <row r="206" spans="1:13" x14ac:dyDescent="0.2">
      <c r="A206" t="s">
        <v>48</v>
      </c>
      <c r="B206">
        <v>2012</v>
      </c>
      <c r="C206" t="s">
        <v>36</v>
      </c>
      <c r="D206" t="s">
        <v>12</v>
      </c>
      <c r="E206" t="s">
        <v>49</v>
      </c>
      <c r="F206">
        <v>80</v>
      </c>
      <c r="G206">
        <v>324</v>
      </c>
      <c r="H206" t="s">
        <v>7</v>
      </c>
      <c r="I206">
        <v>12</v>
      </c>
      <c r="J206" t="b">
        <v>1</v>
      </c>
      <c r="K206" t="str">
        <f t="shared" si="3"/>
        <v>del122012</v>
      </c>
      <c r="L206">
        <f>VLOOKUP(K206,BheightCalcs!I$1:M$429, 5, FALSE)</f>
        <v>11.31635</v>
      </c>
      <c r="M206">
        <f>VLOOKUP(A206, BheightCalcs!P$1:S$39, 4, FALSE)</f>
        <v>9</v>
      </c>
    </row>
    <row r="207" spans="1:13" x14ac:dyDescent="0.2">
      <c r="A207" t="s">
        <v>48</v>
      </c>
      <c r="B207">
        <v>2012</v>
      </c>
      <c r="C207" t="s">
        <v>36</v>
      </c>
      <c r="D207" t="s">
        <v>15</v>
      </c>
      <c r="E207" t="s">
        <v>50</v>
      </c>
      <c r="F207">
        <v>80</v>
      </c>
      <c r="G207">
        <v>324</v>
      </c>
      <c r="H207" t="s">
        <v>7</v>
      </c>
      <c r="I207">
        <v>12</v>
      </c>
      <c r="J207" t="b">
        <v>1</v>
      </c>
      <c r="K207" t="str">
        <f t="shared" si="3"/>
        <v>del122012</v>
      </c>
      <c r="L207">
        <f>VLOOKUP(K207,BheightCalcs!I$1:M$429, 5, FALSE)</f>
        <v>11.31635</v>
      </c>
      <c r="M207">
        <f>VLOOKUP(A207, BheightCalcs!P$1:S$39, 4, FALSE)</f>
        <v>9</v>
      </c>
    </row>
    <row r="208" spans="1:13" x14ac:dyDescent="0.2">
      <c r="A208" t="s">
        <v>48</v>
      </c>
      <c r="B208">
        <v>2013</v>
      </c>
      <c r="C208" t="s">
        <v>36</v>
      </c>
      <c r="D208" t="s">
        <v>12</v>
      </c>
      <c r="E208" t="s">
        <v>49</v>
      </c>
      <c r="F208">
        <v>29</v>
      </c>
      <c r="G208">
        <v>325</v>
      </c>
      <c r="H208" t="s">
        <v>7</v>
      </c>
      <c r="I208">
        <v>12</v>
      </c>
      <c r="J208" t="b">
        <v>1</v>
      </c>
      <c r="K208" t="str">
        <f t="shared" si="3"/>
        <v>del122013</v>
      </c>
      <c r="L208">
        <f>VLOOKUP(K208,BheightCalcs!I$1:M$429, 5, FALSE)</f>
        <v>12</v>
      </c>
      <c r="M208">
        <f>VLOOKUP(A208, BheightCalcs!P$1:S$39, 4, FALSE)</f>
        <v>9</v>
      </c>
    </row>
    <row r="209" spans="1:13" x14ac:dyDescent="0.2">
      <c r="A209" t="s">
        <v>48</v>
      </c>
      <c r="B209">
        <v>2013</v>
      </c>
      <c r="C209" t="s">
        <v>36</v>
      </c>
      <c r="D209" t="s">
        <v>15</v>
      </c>
      <c r="E209" t="s">
        <v>50</v>
      </c>
      <c r="F209">
        <v>29</v>
      </c>
      <c r="G209">
        <v>325</v>
      </c>
      <c r="H209" t="s">
        <v>7</v>
      </c>
      <c r="I209">
        <v>12</v>
      </c>
      <c r="J209" t="b">
        <v>1</v>
      </c>
      <c r="K209" t="str">
        <f t="shared" si="3"/>
        <v>del122013</v>
      </c>
      <c r="L209">
        <f>VLOOKUP(K209,BheightCalcs!I$1:M$429, 5, FALSE)</f>
        <v>12</v>
      </c>
      <c r="M209">
        <f>VLOOKUP(A209, BheightCalcs!P$1:S$39, 4, FALSE)</f>
        <v>9</v>
      </c>
    </row>
    <row r="210" spans="1:13" x14ac:dyDescent="0.2">
      <c r="A210" t="s">
        <v>51</v>
      </c>
      <c r="B210">
        <v>2002</v>
      </c>
      <c r="C210" t="s">
        <v>36</v>
      </c>
      <c r="D210" t="s">
        <v>15</v>
      </c>
      <c r="E210" t="s">
        <v>53</v>
      </c>
      <c r="F210">
        <v>34</v>
      </c>
      <c r="G210">
        <v>304</v>
      </c>
      <c r="H210" t="s">
        <v>7</v>
      </c>
      <c r="I210">
        <v>9</v>
      </c>
      <c r="J210" t="b">
        <v>1</v>
      </c>
      <c r="K210" t="str">
        <f t="shared" si="3"/>
        <v>del202002</v>
      </c>
      <c r="L210">
        <f>VLOOKUP(K210,BheightCalcs!I$1:M$429, 5, FALSE)</f>
        <v>2.3755999999999986</v>
      </c>
      <c r="M210">
        <f>VLOOKUP(A210, BheightCalcs!P$1:S$39, 4, FALSE)</f>
        <v>11</v>
      </c>
    </row>
    <row r="211" spans="1:13" x14ac:dyDescent="0.2">
      <c r="A211" t="s">
        <v>51</v>
      </c>
      <c r="B211">
        <v>2003</v>
      </c>
      <c r="C211" t="s">
        <v>36</v>
      </c>
      <c r="D211" t="s">
        <v>15</v>
      </c>
      <c r="E211" t="s">
        <v>53</v>
      </c>
      <c r="F211">
        <v>29</v>
      </c>
      <c r="G211">
        <v>323</v>
      </c>
      <c r="H211" t="s">
        <v>7</v>
      </c>
      <c r="I211">
        <v>9</v>
      </c>
      <c r="J211" t="b">
        <v>1</v>
      </c>
      <c r="K211" t="str">
        <f t="shared" si="3"/>
        <v>del202003</v>
      </c>
      <c r="L211">
        <f>VLOOKUP(K211,BheightCalcs!I$1:M$429, 5, FALSE)</f>
        <v>3.1374499999999985</v>
      </c>
      <c r="M211">
        <f>VLOOKUP(A211, BheightCalcs!P$1:S$39, 4, FALSE)</f>
        <v>11</v>
      </c>
    </row>
    <row r="212" spans="1:13" x14ac:dyDescent="0.2">
      <c r="A212" t="s">
        <v>51</v>
      </c>
      <c r="B212">
        <v>2003</v>
      </c>
      <c r="C212" t="s">
        <v>36</v>
      </c>
      <c r="D212" t="s">
        <v>12</v>
      </c>
      <c r="E212" t="s">
        <v>52</v>
      </c>
      <c r="F212">
        <v>29</v>
      </c>
      <c r="G212">
        <v>323</v>
      </c>
      <c r="H212" t="s">
        <v>7</v>
      </c>
      <c r="I212">
        <v>9</v>
      </c>
      <c r="J212" t="b">
        <v>1</v>
      </c>
      <c r="K212" t="str">
        <f t="shared" si="3"/>
        <v>del202003</v>
      </c>
      <c r="L212">
        <f>VLOOKUP(K212,BheightCalcs!I$1:M$429, 5, FALSE)</f>
        <v>3.1374499999999985</v>
      </c>
      <c r="M212">
        <f>VLOOKUP(A212, BheightCalcs!P$1:S$39, 4, FALSE)</f>
        <v>11</v>
      </c>
    </row>
    <row r="213" spans="1:13" x14ac:dyDescent="0.2">
      <c r="A213" t="s">
        <v>51</v>
      </c>
      <c r="B213">
        <v>2004</v>
      </c>
      <c r="C213" t="s">
        <v>36</v>
      </c>
      <c r="D213" t="s">
        <v>15</v>
      </c>
      <c r="E213" t="s">
        <v>53</v>
      </c>
      <c r="F213">
        <v>49</v>
      </c>
      <c r="G213">
        <v>296</v>
      </c>
      <c r="H213" t="s">
        <v>7</v>
      </c>
      <c r="I213">
        <v>9</v>
      </c>
      <c r="J213" t="b">
        <v>1</v>
      </c>
      <c r="K213" t="str">
        <f t="shared" si="3"/>
        <v>del202004</v>
      </c>
      <c r="L213">
        <f>VLOOKUP(K213,BheightCalcs!I$1:M$429, 5, FALSE)</f>
        <v>3.6595999999999984</v>
      </c>
      <c r="M213">
        <f>VLOOKUP(A213, BheightCalcs!P$1:S$39, 4, FALSE)</f>
        <v>11</v>
      </c>
    </row>
    <row r="214" spans="1:13" x14ac:dyDescent="0.2">
      <c r="A214" t="s">
        <v>51</v>
      </c>
      <c r="B214">
        <v>2004</v>
      </c>
      <c r="C214" t="s">
        <v>36</v>
      </c>
      <c r="D214" t="s">
        <v>12</v>
      </c>
      <c r="E214" t="s">
        <v>52</v>
      </c>
      <c r="F214">
        <v>49</v>
      </c>
      <c r="G214">
        <v>296</v>
      </c>
      <c r="H214" t="s">
        <v>7</v>
      </c>
      <c r="I214">
        <v>9</v>
      </c>
      <c r="J214" t="b">
        <v>1</v>
      </c>
      <c r="K214" t="str">
        <f t="shared" si="3"/>
        <v>del202004</v>
      </c>
      <c r="L214">
        <f>VLOOKUP(K214,BheightCalcs!I$1:M$429, 5, FALSE)</f>
        <v>3.6595999999999984</v>
      </c>
      <c r="M214">
        <f>VLOOKUP(A214, BheightCalcs!P$1:S$39, 4, FALSE)</f>
        <v>11</v>
      </c>
    </row>
    <row r="215" spans="1:13" x14ac:dyDescent="0.2">
      <c r="A215" t="s">
        <v>51</v>
      </c>
      <c r="B215">
        <v>2005</v>
      </c>
      <c r="C215" t="s">
        <v>36</v>
      </c>
      <c r="D215" t="s">
        <v>15</v>
      </c>
      <c r="E215" t="s">
        <v>53</v>
      </c>
      <c r="F215">
        <v>42</v>
      </c>
      <c r="G215">
        <v>326</v>
      </c>
      <c r="H215" t="s">
        <v>7</v>
      </c>
      <c r="I215">
        <v>9</v>
      </c>
      <c r="J215" t="b">
        <v>1</v>
      </c>
      <c r="K215" t="str">
        <f t="shared" si="3"/>
        <v>del202005</v>
      </c>
      <c r="L215">
        <f>VLOOKUP(K215,BheightCalcs!I$1:M$429, 5, FALSE)</f>
        <v>4.2221499999999983</v>
      </c>
      <c r="M215">
        <f>VLOOKUP(A215, BheightCalcs!P$1:S$39, 4, FALSE)</f>
        <v>11</v>
      </c>
    </row>
    <row r="216" spans="1:13" x14ac:dyDescent="0.2">
      <c r="A216" t="s">
        <v>51</v>
      </c>
      <c r="B216">
        <v>2005</v>
      </c>
      <c r="C216" t="s">
        <v>36</v>
      </c>
      <c r="D216" t="s">
        <v>12</v>
      </c>
      <c r="E216" t="s">
        <v>52</v>
      </c>
      <c r="F216">
        <v>42</v>
      </c>
      <c r="G216">
        <v>326</v>
      </c>
      <c r="H216" t="s">
        <v>7</v>
      </c>
      <c r="I216">
        <v>9</v>
      </c>
      <c r="J216" t="b">
        <v>1</v>
      </c>
      <c r="K216" t="str">
        <f t="shared" si="3"/>
        <v>del202005</v>
      </c>
      <c r="L216">
        <f>VLOOKUP(K216,BheightCalcs!I$1:M$429, 5, FALSE)</f>
        <v>4.2221499999999983</v>
      </c>
      <c r="M216">
        <f>VLOOKUP(A216, BheightCalcs!P$1:S$39, 4, FALSE)</f>
        <v>11</v>
      </c>
    </row>
    <row r="217" spans="1:13" x14ac:dyDescent="0.2">
      <c r="A217" t="s">
        <v>51</v>
      </c>
      <c r="B217">
        <v>2006</v>
      </c>
      <c r="C217" t="s">
        <v>36</v>
      </c>
      <c r="D217" t="s">
        <v>15</v>
      </c>
      <c r="E217" t="s">
        <v>53</v>
      </c>
      <c r="F217">
        <v>23</v>
      </c>
      <c r="G217">
        <v>326</v>
      </c>
      <c r="H217" t="s">
        <v>7</v>
      </c>
      <c r="I217">
        <v>9</v>
      </c>
      <c r="J217" t="b">
        <v>1</v>
      </c>
      <c r="K217" t="str">
        <f t="shared" si="3"/>
        <v>del202006</v>
      </c>
      <c r="L217">
        <f>VLOOKUP(K217,BheightCalcs!I$1:M$429, 5, FALSE)</f>
        <v>4.7947999999999986</v>
      </c>
      <c r="M217">
        <f>VLOOKUP(A217, BheightCalcs!P$1:S$39, 4, FALSE)</f>
        <v>11</v>
      </c>
    </row>
    <row r="218" spans="1:13" x14ac:dyDescent="0.2">
      <c r="A218" t="s">
        <v>51</v>
      </c>
      <c r="B218">
        <v>2006</v>
      </c>
      <c r="C218" t="s">
        <v>36</v>
      </c>
      <c r="D218" t="s">
        <v>12</v>
      </c>
      <c r="E218" t="s">
        <v>52</v>
      </c>
      <c r="F218">
        <v>23</v>
      </c>
      <c r="G218">
        <v>326</v>
      </c>
      <c r="H218" t="s">
        <v>7</v>
      </c>
      <c r="I218">
        <v>9</v>
      </c>
      <c r="J218" t="b">
        <v>1</v>
      </c>
      <c r="K218" t="str">
        <f t="shared" si="3"/>
        <v>del202006</v>
      </c>
      <c r="L218">
        <f>VLOOKUP(K218,BheightCalcs!I$1:M$429, 5, FALSE)</f>
        <v>4.7947999999999986</v>
      </c>
      <c r="M218">
        <f>VLOOKUP(A218, BheightCalcs!P$1:S$39, 4, FALSE)</f>
        <v>11</v>
      </c>
    </row>
    <row r="219" spans="1:13" x14ac:dyDescent="0.2">
      <c r="A219" t="s">
        <v>51</v>
      </c>
      <c r="B219">
        <v>2007</v>
      </c>
      <c r="C219" t="s">
        <v>36</v>
      </c>
      <c r="D219" t="s">
        <v>15</v>
      </c>
      <c r="E219" t="s">
        <v>53</v>
      </c>
      <c r="F219">
        <v>19</v>
      </c>
      <c r="G219">
        <v>328</v>
      </c>
      <c r="H219" t="s">
        <v>7</v>
      </c>
      <c r="I219">
        <v>9</v>
      </c>
      <c r="J219" t="b">
        <v>1</v>
      </c>
      <c r="K219" t="str">
        <f t="shared" si="3"/>
        <v>del202007</v>
      </c>
      <c r="L219">
        <f>VLOOKUP(K219,BheightCalcs!I$1:M$429, 5, FALSE)</f>
        <v>5.4960999999999984</v>
      </c>
      <c r="M219">
        <f>VLOOKUP(A219, BheightCalcs!P$1:S$39, 4, FALSE)</f>
        <v>11</v>
      </c>
    </row>
    <row r="220" spans="1:13" x14ac:dyDescent="0.2">
      <c r="A220" t="s">
        <v>51</v>
      </c>
      <c r="B220">
        <v>2007</v>
      </c>
      <c r="C220" t="s">
        <v>36</v>
      </c>
      <c r="D220" t="s">
        <v>12</v>
      </c>
      <c r="E220" t="s">
        <v>52</v>
      </c>
      <c r="F220">
        <v>19</v>
      </c>
      <c r="G220">
        <v>328</v>
      </c>
      <c r="H220" t="s">
        <v>7</v>
      </c>
      <c r="I220">
        <v>9</v>
      </c>
      <c r="J220" t="b">
        <v>1</v>
      </c>
      <c r="K220" t="str">
        <f t="shared" si="3"/>
        <v>del202007</v>
      </c>
      <c r="L220">
        <f>VLOOKUP(K220,BheightCalcs!I$1:M$429, 5, FALSE)</f>
        <v>5.4960999999999984</v>
      </c>
      <c r="M220">
        <f>VLOOKUP(A220, BheightCalcs!P$1:S$39, 4, FALSE)</f>
        <v>11</v>
      </c>
    </row>
    <row r="221" spans="1:13" x14ac:dyDescent="0.2">
      <c r="A221" t="s">
        <v>51</v>
      </c>
      <c r="B221">
        <v>2008</v>
      </c>
      <c r="C221" t="s">
        <v>36</v>
      </c>
      <c r="D221" t="s">
        <v>15</v>
      </c>
      <c r="E221" t="s">
        <v>53</v>
      </c>
      <c r="F221">
        <v>41</v>
      </c>
      <c r="G221">
        <v>302</v>
      </c>
      <c r="H221" t="s">
        <v>7</v>
      </c>
      <c r="I221">
        <v>9</v>
      </c>
      <c r="J221" t="b">
        <v>1</v>
      </c>
      <c r="K221" t="str">
        <f t="shared" si="3"/>
        <v>del202008</v>
      </c>
      <c r="L221">
        <f>VLOOKUP(K221,BheightCalcs!I$1:M$429, 5, FALSE)</f>
        <v>6.0081499999999988</v>
      </c>
      <c r="M221">
        <f>VLOOKUP(A221, BheightCalcs!P$1:S$39, 4, FALSE)</f>
        <v>11</v>
      </c>
    </row>
    <row r="222" spans="1:13" x14ac:dyDescent="0.2">
      <c r="A222" t="s">
        <v>51</v>
      </c>
      <c r="B222">
        <v>2008</v>
      </c>
      <c r="C222" t="s">
        <v>36</v>
      </c>
      <c r="D222" t="s">
        <v>12</v>
      </c>
      <c r="E222" t="s">
        <v>52</v>
      </c>
      <c r="F222">
        <v>41</v>
      </c>
      <c r="G222">
        <v>302</v>
      </c>
      <c r="H222" t="s">
        <v>7</v>
      </c>
      <c r="I222">
        <v>9</v>
      </c>
      <c r="J222" t="b">
        <v>1</v>
      </c>
      <c r="K222" t="str">
        <f t="shared" si="3"/>
        <v>del202008</v>
      </c>
      <c r="L222">
        <f>VLOOKUP(K222,BheightCalcs!I$1:M$429, 5, FALSE)</f>
        <v>6.0081499999999988</v>
      </c>
      <c r="M222">
        <f>VLOOKUP(A222, BheightCalcs!P$1:S$39, 4, FALSE)</f>
        <v>11</v>
      </c>
    </row>
    <row r="223" spans="1:13" x14ac:dyDescent="0.2">
      <c r="A223" t="s">
        <v>51</v>
      </c>
      <c r="B223">
        <v>2009</v>
      </c>
      <c r="C223" t="s">
        <v>36</v>
      </c>
      <c r="D223" t="s">
        <v>12</v>
      </c>
      <c r="E223" t="s">
        <v>52</v>
      </c>
      <c r="F223">
        <v>43</v>
      </c>
      <c r="G223">
        <v>331</v>
      </c>
      <c r="H223" t="s">
        <v>7</v>
      </c>
      <c r="I223">
        <v>9</v>
      </c>
      <c r="J223" t="b">
        <v>1</v>
      </c>
      <c r="K223" t="str">
        <f t="shared" si="3"/>
        <v>del202009</v>
      </c>
      <c r="L223">
        <f>VLOOKUP(K223,BheightCalcs!I$1:M$429, 5, FALSE)</f>
        <v>6.5580999999999987</v>
      </c>
      <c r="M223">
        <f>VLOOKUP(A223, BheightCalcs!P$1:S$39, 4, FALSE)</f>
        <v>11</v>
      </c>
    </row>
    <row r="224" spans="1:13" x14ac:dyDescent="0.2">
      <c r="A224" t="s">
        <v>51</v>
      </c>
      <c r="B224">
        <v>2009</v>
      </c>
      <c r="C224" t="s">
        <v>36</v>
      </c>
      <c r="D224" t="s">
        <v>15</v>
      </c>
      <c r="E224" t="s">
        <v>53</v>
      </c>
      <c r="F224">
        <v>43</v>
      </c>
      <c r="G224">
        <v>331</v>
      </c>
      <c r="H224" t="s">
        <v>7</v>
      </c>
      <c r="I224">
        <v>9</v>
      </c>
      <c r="J224" t="b">
        <v>1</v>
      </c>
      <c r="K224" t="str">
        <f t="shared" si="3"/>
        <v>del202009</v>
      </c>
      <c r="L224">
        <f>VLOOKUP(K224,BheightCalcs!I$1:M$429, 5, FALSE)</f>
        <v>6.5580999999999987</v>
      </c>
      <c r="M224">
        <f>VLOOKUP(A224, BheightCalcs!P$1:S$39, 4, FALSE)</f>
        <v>11</v>
      </c>
    </row>
    <row r="225" spans="1:13" x14ac:dyDescent="0.2">
      <c r="A225" t="s">
        <v>51</v>
      </c>
      <c r="B225">
        <v>2010</v>
      </c>
      <c r="C225" t="s">
        <v>36</v>
      </c>
      <c r="D225" t="s">
        <v>15</v>
      </c>
      <c r="E225" t="s">
        <v>53</v>
      </c>
      <c r="F225">
        <v>37</v>
      </c>
      <c r="G225">
        <v>334</v>
      </c>
      <c r="H225" t="s">
        <v>7</v>
      </c>
      <c r="I225">
        <v>9</v>
      </c>
      <c r="J225" t="b">
        <v>1</v>
      </c>
      <c r="K225" t="str">
        <f t="shared" si="3"/>
        <v>del202010</v>
      </c>
      <c r="L225">
        <f>VLOOKUP(K225,BheightCalcs!I$1:M$429, 5, FALSE)</f>
        <v>7.289699999999999</v>
      </c>
      <c r="M225">
        <f>VLOOKUP(A225, BheightCalcs!P$1:S$39, 4, FALSE)</f>
        <v>11</v>
      </c>
    </row>
    <row r="226" spans="1:13" x14ac:dyDescent="0.2">
      <c r="A226" t="s">
        <v>51</v>
      </c>
      <c r="B226">
        <v>2010</v>
      </c>
      <c r="C226" t="s">
        <v>36</v>
      </c>
      <c r="D226" t="s">
        <v>12</v>
      </c>
      <c r="E226" t="s">
        <v>52</v>
      </c>
      <c r="F226">
        <v>37</v>
      </c>
      <c r="G226">
        <v>334</v>
      </c>
      <c r="H226" t="s">
        <v>7</v>
      </c>
      <c r="I226">
        <v>9</v>
      </c>
      <c r="J226" t="b">
        <v>1</v>
      </c>
      <c r="K226" t="str">
        <f t="shared" si="3"/>
        <v>del202010</v>
      </c>
      <c r="L226">
        <f>VLOOKUP(K226,BheightCalcs!I$1:M$429, 5, FALSE)</f>
        <v>7.289699999999999</v>
      </c>
      <c r="M226">
        <f>VLOOKUP(A226, BheightCalcs!P$1:S$39, 4, FALSE)</f>
        <v>11</v>
      </c>
    </row>
    <row r="227" spans="1:13" x14ac:dyDescent="0.2">
      <c r="A227" t="s">
        <v>51</v>
      </c>
      <c r="B227">
        <v>2011</v>
      </c>
      <c r="C227" t="s">
        <v>36</v>
      </c>
      <c r="D227" t="s">
        <v>12</v>
      </c>
      <c r="E227" t="s">
        <v>52</v>
      </c>
      <c r="F227">
        <v>42</v>
      </c>
      <c r="G227">
        <v>335</v>
      </c>
      <c r="H227" t="s">
        <v>7</v>
      </c>
      <c r="I227">
        <v>9</v>
      </c>
      <c r="J227" t="b">
        <v>1</v>
      </c>
      <c r="K227" t="str">
        <f t="shared" si="3"/>
        <v>del202011</v>
      </c>
      <c r="L227">
        <f>VLOOKUP(K227,BheightCalcs!I$1:M$429, 5, FALSE)</f>
        <v>8.0439499999999988</v>
      </c>
      <c r="M227">
        <f>VLOOKUP(A227, BheightCalcs!P$1:S$39, 4, FALSE)</f>
        <v>11</v>
      </c>
    </row>
    <row r="228" spans="1:13" x14ac:dyDescent="0.2">
      <c r="A228" t="s">
        <v>51</v>
      </c>
      <c r="B228">
        <v>2011</v>
      </c>
      <c r="C228" t="s">
        <v>36</v>
      </c>
      <c r="D228" t="s">
        <v>15</v>
      </c>
      <c r="E228" t="s">
        <v>53</v>
      </c>
      <c r="F228">
        <v>42</v>
      </c>
      <c r="G228">
        <v>335</v>
      </c>
      <c r="H228" t="s">
        <v>7</v>
      </c>
      <c r="I228">
        <v>9</v>
      </c>
      <c r="J228" t="b">
        <v>1</v>
      </c>
      <c r="K228" t="str">
        <f t="shared" si="3"/>
        <v>del202011</v>
      </c>
      <c r="L228">
        <f>VLOOKUP(K228,BheightCalcs!I$1:M$429, 5, FALSE)</f>
        <v>8.0439499999999988</v>
      </c>
      <c r="M228">
        <f>VLOOKUP(A228, BheightCalcs!P$1:S$39, 4, FALSE)</f>
        <v>11</v>
      </c>
    </row>
    <row r="229" spans="1:13" x14ac:dyDescent="0.2">
      <c r="A229" t="s">
        <v>51</v>
      </c>
      <c r="B229">
        <v>2012</v>
      </c>
      <c r="C229" t="s">
        <v>36</v>
      </c>
      <c r="D229" t="s">
        <v>12</v>
      </c>
      <c r="E229" t="s">
        <v>52</v>
      </c>
      <c r="F229">
        <v>80</v>
      </c>
      <c r="G229">
        <v>324</v>
      </c>
      <c r="H229" t="s">
        <v>7</v>
      </c>
      <c r="I229">
        <v>9</v>
      </c>
      <c r="J229" t="b">
        <v>1</v>
      </c>
      <c r="K229" t="str">
        <f t="shared" si="3"/>
        <v>del202012</v>
      </c>
      <c r="L229">
        <f>VLOOKUP(K229,BheightCalcs!I$1:M$429, 5, FALSE)</f>
        <v>8.5206999999999997</v>
      </c>
      <c r="M229">
        <f>VLOOKUP(A229, BheightCalcs!P$1:S$39, 4, FALSE)</f>
        <v>11</v>
      </c>
    </row>
    <row r="230" spans="1:13" x14ac:dyDescent="0.2">
      <c r="A230" t="s">
        <v>51</v>
      </c>
      <c r="B230">
        <v>2012</v>
      </c>
      <c r="C230" t="s">
        <v>36</v>
      </c>
      <c r="D230" t="s">
        <v>15</v>
      </c>
      <c r="E230" t="s">
        <v>53</v>
      </c>
      <c r="F230">
        <v>80</v>
      </c>
      <c r="G230">
        <v>324</v>
      </c>
      <c r="H230" t="s">
        <v>7</v>
      </c>
      <c r="I230">
        <v>9</v>
      </c>
      <c r="J230" t="b">
        <v>1</v>
      </c>
      <c r="K230" t="str">
        <f t="shared" si="3"/>
        <v>del202012</v>
      </c>
      <c r="L230">
        <f>VLOOKUP(K230,BheightCalcs!I$1:M$429, 5, FALSE)</f>
        <v>8.5206999999999997</v>
      </c>
      <c r="M230">
        <f>VLOOKUP(A230, BheightCalcs!P$1:S$39, 4, FALSE)</f>
        <v>11</v>
      </c>
    </row>
    <row r="231" spans="1:13" x14ac:dyDescent="0.2">
      <c r="A231" t="s">
        <v>51</v>
      </c>
      <c r="B231">
        <v>2013</v>
      </c>
      <c r="C231" t="s">
        <v>36</v>
      </c>
      <c r="D231" t="s">
        <v>15</v>
      </c>
      <c r="E231" t="s">
        <v>53</v>
      </c>
      <c r="F231">
        <v>29</v>
      </c>
      <c r="G231">
        <v>325</v>
      </c>
      <c r="H231" t="s">
        <v>7</v>
      </c>
      <c r="I231">
        <v>9</v>
      </c>
      <c r="J231" t="b">
        <v>1</v>
      </c>
      <c r="K231" t="str">
        <f t="shared" si="3"/>
        <v>del202013</v>
      </c>
      <c r="L231">
        <f>VLOOKUP(K231,BheightCalcs!I$1:M$429, 5, FALSE)</f>
        <v>9</v>
      </c>
      <c r="M231">
        <f>VLOOKUP(A231, BheightCalcs!P$1:S$39, 4, FALSE)</f>
        <v>11</v>
      </c>
    </row>
    <row r="232" spans="1:13" x14ac:dyDescent="0.2">
      <c r="A232" t="s">
        <v>51</v>
      </c>
      <c r="B232">
        <v>2013</v>
      </c>
      <c r="C232" t="s">
        <v>36</v>
      </c>
      <c r="D232" t="s">
        <v>12</v>
      </c>
      <c r="E232" t="s">
        <v>52</v>
      </c>
      <c r="F232">
        <v>29</v>
      </c>
      <c r="G232">
        <v>325</v>
      </c>
      <c r="H232" t="s">
        <v>7</v>
      </c>
      <c r="I232">
        <v>9</v>
      </c>
      <c r="J232" t="b">
        <v>1</v>
      </c>
      <c r="K232" t="str">
        <f t="shared" si="3"/>
        <v>del202013</v>
      </c>
      <c r="L232">
        <f>VLOOKUP(K232,BheightCalcs!I$1:M$429, 5, FALSE)</f>
        <v>9</v>
      </c>
      <c r="M232">
        <f>VLOOKUP(A232, BheightCalcs!P$1:S$39, 4, FALSE)</f>
        <v>11</v>
      </c>
    </row>
    <row r="233" spans="1:13" x14ac:dyDescent="0.2">
      <c r="A233" t="s">
        <v>54</v>
      </c>
      <c r="B233">
        <v>2000</v>
      </c>
      <c r="C233" t="s">
        <v>55</v>
      </c>
      <c r="D233" t="s">
        <v>15</v>
      </c>
      <c r="E233" t="s">
        <v>56</v>
      </c>
      <c r="F233">
        <v>42</v>
      </c>
      <c r="G233">
        <v>301</v>
      </c>
      <c r="H233" t="s">
        <v>14</v>
      </c>
      <c r="I233">
        <v>15</v>
      </c>
      <c r="J233" t="b">
        <v>1</v>
      </c>
      <c r="K233" t="str">
        <f t="shared" si="3"/>
        <v>dib012000</v>
      </c>
      <c r="L233">
        <f>VLOOKUP(K233,BheightCalcs!I$1:M$429, 5, FALSE)</f>
        <v>8.2998999999999992</v>
      </c>
      <c r="M233">
        <f>VLOOKUP(A233, BheightCalcs!P$1:S$39, 4, FALSE)</f>
        <v>13</v>
      </c>
    </row>
    <row r="234" spans="1:13" x14ac:dyDescent="0.2">
      <c r="A234" t="s">
        <v>54</v>
      </c>
      <c r="B234">
        <v>2000</v>
      </c>
      <c r="C234" t="s">
        <v>55</v>
      </c>
      <c r="D234" t="s">
        <v>12</v>
      </c>
      <c r="E234" t="s">
        <v>57</v>
      </c>
      <c r="F234">
        <v>42</v>
      </c>
      <c r="G234">
        <v>301</v>
      </c>
      <c r="H234" t="s">
        <v>14</v>
      </c>
      <c r="I234">
        <v>15</v>
      </c>
      <c r="J234" t="b">
        <v>1</v>
      </c>
      <c r="K234" t="str">
        <f t="shared" si="3"/>
        <v>dib012000</v>
      </c>
      <c r="L234">
        <f>VLOOKUP(K234,BheightCalcs!I$1:M$429, 5, FALSE)</f>
        <v>8.2998999999999992</v>
      </c>
      <c r="M234">
        <f>VLOOKUP(A234, BheightCalcs!P$1:S$39, 4, FALSE)</f>
        <v>13</v>
      </c>
    </row>
    <row r="235" spans="1:13" x14ac:dyDescent="0.2">
      <c r="A235" t="s">
        <v>54</v>
      </c>
      <c r="B235">
        <v>2001</v>
      </c>
      <c r="C235" t="s">
        <v>55</v>
      </c>
      <c r="D235" t="s">
        <v>12</v>
      </c>
      <c r="E235" t="s">
        <v>57</v>
      </c>
      <c r="F235">
        <v>35</v>
      </c>
      <c r="G235">
        <v>263</v>
      </c>
      <c r="H235" t="s">
        <v>14</v>
      </c>
      <c r="I235">
        <v>15</v>
      </c>
      <c r="J235" t="b">
        <v>1</v>
      </c>
      <c r="K235" t="str">
        <f t="shared" si="3"/>
        <v>dib012001</v>
      </c>
      <c r="L235">
        <f>VLOOKUP(K235,BheightCalcs!I$1:M$429, 5, FALSE)</f>
        <v>8.7489499999999989</v>
      </c>
      <c r="M235">
        <f>VLOOKUP(A235, BheightCalcs!P$1:S$39, 4, FALSE)</f>
        <v>13</v>
      </c>
    </row>
    <row r="236" spans="1:13" x14ac:dyDescent="0.2">
      <c r="A236" t="s">
        <v>54</v>
      </c>
      <c r="B236">
        <v>2001</v>
      </c>
      <c r="C236" t="s">
        <v>55</v>
      </c>
      <c r="D236" t="s">
        <v>15</v>
      </c>
      <c r="E236" t="s">
        <v>56</v>
      </c>
      <c r="F236">
        <v>35</v>
      </c>
      <c r="G236">
        <v>263</v>
      </c>
      <c r="H236" t="s">
        <v>14</v>
      </c>
      <c r="I236">
        <v>15</v>
      </c>
      <c r="J236" t="b">
        <v>1</v>
      </c>
      <c r="K236" t="str">
        <f t="shared" si="3"/>
        <v>dib012001</v>
      </c>
      <c r="L236">
        <f>VLOOKUP(K236,BheightCalcs!I$1:M$429, 5, FALSE)</f>
        <v>8.7489499999999989</v>
      </c>
      <c r="M236">
        <f>VLOOKUP(A236, BheightCalcs!P$1:S$39, 4, FALSE)</f>
        <v>13</v>
      </c>
    </row>
    <row r="237" spans="1:13" x14ac:dyDescent="0.2">
      <c r="A237" t="s">
        <v>54</v>
      </c>
      <c r="B237">
        <v>2002</v>
      </c>
      <c r="C237" t="s">
        <v>55</v>
      </c>
      <c r="D237" t="s">
        <v>15</v>
      </c>
      <c r="E237" t="s">
        <v>56</v>
      </c>
      <c r="F237">
        <v>33</v>
      </c>
      <c r="G237">
        <v>292</v>
      </c>
      <c r="H237" t="s">
        <v>14</v>
      </c>
      <c r="I237">
        <v>15</v>
      </c>
      <c r="J237" t="b">
        <v>1</v>
      </c>
      <c r="K237" t="str">
        <f t="shared" si="3"/>
        <v>dib012002</v>
      </c>
      <c r="L237">
        <f>VLOOKUP(K237,BheightCalcs!I$1:M$429, 5, FALSE)</f>
        <v>9.0844499999999986</v>
      </c>
      <c r="M237">
        <f>VLOOKUP(A237, BheightCalcs!P$1:S$39, 4, FALSE)</f>
        <v>13</v>
      </c>
    </row>
    <row r="238" spans="1:13" x14ac:dyDescent="0.2">
      <c r="A238" t="s">
        <v>54</v>
      </c>
      <c r="B238">
        <v>2002</v>
      </c>
      <c r="C238" t="s">
        <v>55</v>
      </c>
      <c r="D238" t="s">
        <v>12</v>
      </c>
      <c r="E238" t="s">
        <v>57</v>
      </c>
      <c r="F238">
        <v>33</v>
      </c>
      <c r="G238">
        <v>292</v>
      </c>
      <c r="H238" t="s">
        <v>14</v>
      </c>
      <c r="I238">
        <v>15</v>
      </c>
      <c r="J238" t="b">
        <v>1</v>
      </c>
      <c r="K238" t="str">
        <f t="shared" si="3"/>
        <v>dib012002</v>
      </c>
      <c r="L238">
        <f>VLOOKUP(K238,BheightCalcs!I$1:M$429, 5, FALSE)</f>
        <v>9.0844499999999986</v>
      </c>
      <c r="M238">
        <f>VLOOKUP(A238, BheightCalcs!P$1:S$39, 4, FALSE)</f>
        <v>13</v>
      </c>
    </row>
    <row r="239" spans="1:13" x14ac:dyDescent="0.2">
      <c r="A239" t="s">
        <v>54</v>
      </c>
      <c r="B239">
        <v>2003</v>
      </c>
      <c r="C239" t="s">
        <v>55</v>
      </c>
      <c r="D239" t="s">
        <v>12</v>
      </c>
      <c r="E239" t="s">
        <v>57</v>
      </c>
      <c r="F239">
        <v>29</v>
      </c>
      <c r="G239">
        <v>254</v>
      </c>
      <c r="H239" t="s">
        <v>14</v>
      </c>
      <c r="I239">
        <v>15</v>
      </c>
      <c r="J239" t="b">
        <v>1</v>
      </c>
      <c r="K239" t="str">
        <f t="shared" si="3"/>
        <v>dib012003</v>
      </c>
      <c r="L239">
        <f>VLOOKUP(K239,BheightCalcs!I$1:M$429, 5, FALSE)</f>
        <v>9.644499999999999</v>
      </c>
      <c r="M239">
        <f>VLOOKUP(A239, BheightCalcs!P$1:S$39, 4, FALSE)</f>
        <v>13</v>
      </c>
    </row>
    <row r="240" spans="1:13" x14ac:dyDescent="0.2">
      <c r="A240" t="s">
        <v>54</v>
      </c>
      <c r="B240">
        <v>2003</v>
      </c>
      <c r="C240" t="s">
        <v>55</v>
      </c>
      <c r="D240" t="s">
        <v>15</v>
      </c>
      <c r="E240" t="s">
        <v>56</v>
      </c>
      <c r="F240">
        <v>29</v>
      </c>
      <c r="G240">
        <v>254</v>
      </c>
      <c r="H240" t="s">
        <v>14</v>
      </c>
      <c r="I240">
        <v>15</v>
      </c>
      <c r="J240" t="b">
        <v>1</v>
      </c>
      <c r="K240" t="str">
        <f t="shared" si="3"/>
        <v>dib012003</v>
      </c>
      <c r="L240">
        <f>VLOOKUP(K240,BheightCalcs!I$1:M$429, 5, FALSE)</f>
        <v>9.644499999999999</v>
      </c>
      <c r="M240">
        <f>VLOOKUP(A240, BheightCalcs!P$1:S$39, 4, FALSE)</f>
        <v>13</v>
      </c>
    </row>
    <row r="241" spans="1:13" x14ac:dyDescent="0.2">
      <c r="A241" t="s">
        <v>54</v>
      </c>
      <c r="B241">
        <v>2004</v>
      </c>
      <c r="C241" t="s">
        <v>55</v>
      </c>
      <c r="D241" t="s">
        <v>12</v>
      </c>
      <c r="E241" t="s">
        <v>57</v>
      </c>
      <c r="F241">
        <v>40</v>
      </c>
      <c r="G241">
        <v>278</v>
      </c>
      <c r="H241" t="s">
        <v>14</v>
      </c>
      <c r="I241">
        <v>15</v>
      </c>
      <c r="J241" t="b">
        <v>1</v>
      </c>
      <c r="K241" t="str">
        <f t="shared" si="3"/>
        <v>dib012004</v>
      </c>
      <c r="L241">
        <f>VLOOKUP(K241,BheightCalcs!I$1:M$429, 5, FALSE)</f>
        <v>10.058199999999999</v>
      </c>
      <c r="M241">
        <f>VLOOKUP(A241, BheightCalcs!P$1:S$39, 4, FALSE)</f>
        <v>13</v>
      </c>
    </row>
    <row r="242" spans="1:13" x14ac:dyDescent="0.2">
      <c r="A242" t="s">
        <v>54</v>
      </c>
      <c r="B242">
        <v>2004</v>
      </c>
      <c r="C242" t="s">
        <v>55</v>
      </c>
      <c r="D242" t="s">
        <v>15</v>
      </c>
      <c r="E242" t="s">
        <v>56</v>
      </c>
      <c r="F242">
        <v>40</v>
      </c>
      <c r="G242">
        <v>278</v>
      </c>
      <c r="H242" t="s">
        <v>14</v>
      </c>
      <c r="I242">
        <v>15</v>
      </c>
      <c r="J242" t="b">
        <v>1</v>
      </c>
      <c r="K242" t="str">
        <f t="shared" si="3"/>
        <v>dib012004</v>
      </c>
      <c r="L242">
        <f>VLOOKUP(K242,BheightCalcs!I$1:M$429, 5, FALSE)</f>
        <v>10.058199999999999</v>
      </c>
      <c r="M242">
        <f>VLOOKUP(A242, BheightCalcs!P$1:S$39, 4, FALSE)</f>
        <v>13</v>
      </c>
    </row>
    <row r="243" spans="1:13" x14ac:dyDescent="0.2">
      <c r="A243" t="s">
        <v>54</v>
      </c>
      <c r="B243">
        <v>2005</v>
      </c>
      <c r="C243" t="s">
        <v>55</v>
      </c>
      <c r="D243" t="s">
        <v>15</v>
      </c>
      <c r="E243" t="s">
        <v>56</v>
      </c>
      <c r="F243">
        <v>40</v>
      </c>
      <c r="G243">
        <v>316</v>
      </c>
      <c r="H243" t="s">
        <v>14</v>
      </c>
      <c r="I243">
        <v>15</v>
      </c>
      <c r="J243" t="b">
        <v>1</v>
      </c>
      <c r="K243" t="str">
        <f t="shared" si="3"/>
        <v>dib012005</v>
      </c>
      <c r="L243">
        <f>VLOOKUP(K243,BheightCalcs!I$1:M$429, 5, FALSE)</f>
        <v>10.43155</v>
      </c>
      <c r="M243">
        <f>VLOOKUP(A243, BheightCalcs!P$1:S$39, 4, FALSE)</f>
        <v>13</v>
      </c>
    </row>
    <row r="244" spans="1:13" x14ac:dyDescent="0.2">
      <c r="A244" t="s">
        <v>54</v>
      </c>
      <c r="B244">
        <v>2005</v>
      </c>
      <c r="C244" t="s">
        <v>55</v>
      </c>
      <c r="D244" t="s">
        <v>12</v>
      </c>
      <c r="E244" t="s">
        <v>57</v>
      </c>
      <c r="F244">
        <v>40</v>
      </c>
      <c r="G244">
        <v>316</v>
      </c>
      <c r="H244" t="s">
        <v>14</v>
      </c>
      <c r="I244">
        <v>15</v>
      </c>
      <c r="J244" t="b">
        <v>1</v>
      </c>
      <c r="K244" t="str">
        <f t="shared" si="3"/>
        <v>dib012005</v>
      </c>
      <c r="L244">
        <f>VLOOKUP(K244,BheightCalcs!I$1:M$429, 5, FALSE)</f>
        <v>10.43155</v>
      </c>
      <c r="M244">
        <f>VLOOKUP(A244, BheightCalcs!P$1:S$39, 4, FALSE)</f>
        <v>13</v>
      </c>
    </row>
    <row r="245" spans="1:13" x14ac:dyDescent="0.2">
      <c r="A245" t="s">
        <v>54</v>
      </c>
      <c r="B245">
        <v>2006</v>
      </c>
      <c r="C245" t="s">
        <v>55</v>
      </c>
      <c r="D245" t="s">
        <v>12</v>
      </c>
      <c r="E245" t="s">
        <v>57</v>
      </c>
      <c r="F245">
        <v>25</v>
      </c>
      <c r="G245">
        <v>294</v>
      </c>
      <c r="H245" t="s">
        <v>14</v>
      </c>
      <c r="I245">
        <v>15</v>
      </c>
      <c r="J245" t="b">
        <v>1</v>
      </c>
      <c r="K245" t="str">
        <f t="shared" si="3"/>
        <v>dib012006</v>
      </c>
      <c r="L245">
        <f>VLOOKUP(K245,BheightCalcs!I$1:M$429, 5, FALSE)</f>
        <v>10.93605</v>
      </c>
      <c r="M245">
        <f>VLOOKUP(A245, BheightCalcs!P$1:S$39, 4, FALSE)</f>
        <v>13</v>
      </c>
    </row>
    <row r="246" spans="1:13" x14ac:dyDescent="0.2">
      <c r="A246" t="s">
        <v>54</v>
      </c>
      <c r="B246">
        <v>2006</v>
      </c>
      <c r="C246" t="s">
        <v>55</v>
      </c>
      <c r="D246" t="s">
        <v>15</v>
      </c>
      <c r="E246" t="s">
        <v>56</v>
      </c>
      <c r="F246">
        <v>25</v>
      </c>
      <c r="G246">
        <v>294</v>
      </c>
      <c r="H246" t="s">
        <v>14</v>
      </c>
      <c r="I246">
        <v>15</v>
      </c>
      <c r="J246" t="b">
        <v>1</v>
      </c>
      <c r="K246" t="str">
        <f t="shared" si="3"/>
        <v>dib012006</v>
      </c>
      <c r="L246">
        <f>VLOOKUP(K246,BheightCalcs!I$1:M$429, 5, FALSE)</f>
        <v>10.93605</v>
      </c>
      <c r="M246">
        <f>VLOOKUP(A246, BheightCalcs!P$1:S$39, 4, FALSE)</f>
        <v>13</v>
      </c>
    </row>
    <row r="247" spans="1:13" x14ac:dyDescent="0.2">
      <c r="A247" t="s">
        <v>54</v>
      </c>
      <c r="B247">
        <v>2007</v>
      </c>
      <c r="C247" t="s">
        <v>55</v>
      </c>
      <c r="D247" t="s">
        <v>12</v>
      </c>
      <c r="E247" t="s">
        <v>57</v>
      </c>
      <c r="F247">
        <v>66</v>
      </c>
      <c r="G247">
        <v>286</v>
      </c>
      <c r="H247" t="s">
        <v>14</v>
      </c>
      <c r="I247">
        <v>15</v>
      </c>
      <c r="J247" t="b">
        <v>1</v>
      </c>
      <c r="K247" t="str">
        <f t="shared" si="3"/>
        <v>dib012007</v>
      </c>
      <c r="L247">
        <f>VLOOKUP(K247,BheightCalcs!I$1:M$429, 5, FALSE)</f>
        <v>11.296749999999999</v>
      </c>
      <c r="M247">
        <f>VLOOKUP(A247, BheightCalcs!P$1:S$39, 4, FALSE)</f>
        <v>13</v>
      </c>
    </row>
    <row r="248" spans="1:13" x14ac:dyDescent="0.2">
      <c r="A248" t="s">
        <v>54</v>
      </c>
      <c r="B248">
        <v>2007</v>
      </c>
      <c r="C248" t="s">
        <v>55</v>
      </c>
      <c r="D248" t="s">
        <v>15</v>
      </c>
      <c r="E248" t="s">
        <v>56</v>
      </c>
      <c r="F248">
        <v>66</v>
      </c>
      <c r="G248">
        <v>286</v>
      </c>
      <c r="H248" t="s">
        <v>14</v>
      </c>
      <c r="I248">
        <v>15</v>
      </c>
      <c r="J248" t="b">
        <v>1</v>
      </c>
      <c r="K248" t="str">
        <f t="shared" si="3"/>
        <v>dib012007</v>
      </c>
      <c r="L248">
        <f>VLOOKUP(K248,BheightCalcs!I$1:M$429, 5, FALSE)</f>
        <v>11.296749999999999</v>
      </c>
      <c r="M248">
        <f>VLOOKUP(A248, BheightCalcs!P$1:S$39, 4, FALSE)</f>
        <v>13</v>
      </c>
    </row>
    <row r="249" spans="1:13" x14ac:dyDescent="0.2">
      <c r="A249" t="s">
        <v>54</v>
      </c>
      <c r="B249">
        <v>2008</v>
      </c>
      <c r="C249" t="s">
        <v>55</v>
      </c>
      <c r="D249" t="s">
        <v>12</v>
      </c>
      <c r="E249" t="s">
        <v>57</v>
      </c>
      <c r="F249">
        <v>53</v>
      </c>
      <c r="G249">
        <v>301</v>
      </c>
      <c r="H249" t="s">
        <v>14</v>
      </c>
      <c r="I249">
        <v>15</v>
      </c>
      <c r="J249" t="b">
        <v>1</v>
      </c>
      <c r="K249" t="str">
        <f t="shared" si="3"/>
        <v>dib012008</v>
      </c>
      <c r="L249">
        <f>VLOOKUP(K249,BheightCalcs!I$1:M$429, 5, FALSE)</f>
        <v>11.81645</v>
      </c>
      <c r="M249">
        <f>VLOOKUP(A249, BheightCalcs!P$1:S$39, 4, FALSE)</f>
        <v>13</v>
      </c>
    </row>
    <row r="250" spans="1:13" x14ac:dyDescent="0.2">
      <c r="A250" t="s">
        <v>54</v>
      </c>
      <c r="B250">
        <v>2008</v>
      </c>
      <c r="C250" t="s">
        <v>55</v>
      </c>
      <c r="D250" t="s">
        <v>15</v>
      </c>
      <c r="E250" t="s">
        <v>56</v>
      </c>
      <c r="F250">
        <v>53</v>
      </c>
      <c r="G250">
        <v>301</v>
      </c>
      <c r="H250" t="s">
        <v>14</v>
      </c>
      <c r="I250">
        <v>15</v>
      </c>
      <c r="J250" t="b">
        <v>1</v>
      </c>
      <c r="K250" t="str">
        <f t="shared" si="3"/>
        <v>dib012008</v>
      </c>
      <c r="L250">
        <f>VLOOKUP(K250,BheightCalcs!I$1:M$429, 5, FALSE)</f>
        <v>11.81645</v>
      </c>
      <c r="M250">
        <f>VLOOKUP(A250, BheightCalcs!P$1:S$39, 4, FALSE)</f>
        <v>13</v>
      </c>
    </row>
    <row r="251" spans="1:13" x14ac:dyDescent="0.2">
      <c r="A251" t="s">
        <v>54</v>
      </c>
      <c r="B251">
        <v>2009</v>
      </c>
      <c r="C251" t="s">
        <v>55</v>
      </c>
      <c r="D251" t="s">
        <v>12</v>
      </c>
      <c r="E251" t="s">
        <v>57</v>
      </c>
      <c r="F251">
        <v>43</v>
      </c>
      <c r="G251">
        <v>288</v>
      </c>
      <c r="H251" t="s">
        <v>14</v>
      </c>
      <c r="I251">
        <v>15</v>
      </c>
      <c r="J251" t="b">
        <v>1</v>
      </c>
      <c r="K251" t="str">
        <f t="shared" si="3"/>
        <v>dib012009</v>
      </c>
      <c r="L251">
        <f>VLOOKUP(K251,BheightCalcs!I$1:M$429, 5, FALSE)</f>
        <v>12.371449999999999</v>
      </c>
      <c r="M251">
        <f>VLOOKUP(A251, BheightCalcs!P$1:S$39, 4, FALSE)</f>
        <v>13</v>
      </c>
    </row>
    <row r="252" spans="1:13" x14ac:dyDescent="0.2">
      <c r="A252" t="s">
        <v>54</v>
      </c>
      <c r="B252">
        <v>2009</v>
      </c>
      <c r="C252" t="s">
        <v>55</v>
      </c>
      <c r="D252" t="s">
        <v>15</v>
      </c>
      <c r="E252" t="s">
        <v>56</v>
      </c>
      <c r="F252">
        <v>43</v>
      </c>
      <c r="G252">
        <v>288</v>
      </c>
      <c r="H252" t="s">
        <v>14</v>
      </c>
      <c r="I252">
        <v>15</v>
      </c>
      <c r="J252" t="b">
        <v>1</v>
      </c>
      <c r="K252" t="str">
        <f t="shared" si="3"/>
        <v>dib012009</v>
      </c>
      <c r="L252">
        <f>VLOOKUP(K252,BheightCalcs!I$1:M$429, 5, FALSE)</f>
        <v>12.371449999999999</v>
      </c>
      <c r="M252">
        <f>VLOOKUP(A252, BheightCalcs!P$1:S$39, 4, FALSE)</f>
        <v>13</v>
      </c>
    </row>
    <row r="253" spans="1:13" x14ac:dyDescent="0.2">
      <c r="A253" t="s">
        <v>54</v>
      </c>
      <c r="B253">
        <v>2010</v>
      </c>
      <c r="C253" t="s">
        <v>55</v>
      </c>
      <c r="D253" t="s">
        <v>15</v>
      </c>
      <c r="E253" t="s">
        <v>56</v>
      </c>
      <c r="F253">
        <v>40</v>
      </c>
      <c r="G253">
        <v>282</v>
      </c>
      <c r="H253" t="s">
        <v>14</v>
      </c>
      <c r="I253">
        <v>15</v>
      </c>
      <c r="J253" t="b">
        <v>1</v>
      </c>
      <c r="K253" t="str">
        <f t="shared" si="3"/>
        <v>dib012010</v>
      </c>
      <c r="L253">
        <f>VLOOKUP(K253,BheightCalcs!I$1:M$429, 5, FALSE)</f>
        <v>12.893599999999999</v>
      </c>
      <c r="M253">
        <f>VLOOKUP(A253, BheightCalcs!P$1:S$39, 4, FALSE)</f>
        <v>13</v>
      </c>
    </row>
    <row r="254" spans="1:13" x14ac:dyDescent="0.2">
      <c r="A254" t="s">
        <v>54</v>
      </c>
      <c r="B254">
        <v>2010</v>
      </c>
      <c r="C254" t="s">
        <v>55</v>
      </c>
      <c r="D254" t="s">
        <v>12</v>
      </c>
      <c r="E254" t="s">
        <v>57</v>
      </c>
      <c r="F254">
        <v>40</v>
      </c>
      <c r="G254">
        <v>282</v>
      </c>
      <c r="H254" t="s">
        <v>14</v>
      </c>
      <c r="I254">
        <v>15</v>
      </c>
      <c r="J254" t="b">
        <v>1</v>
      </c>
      <c r="K254" t="str">
        <f t="shared" si="3"/>
        <v>dib012010</v>
      </c>
      <c r="L254">
        <f>VLOOKUP(K254,BheightCalcs!I$1:M$429, 5, FALSE)</f>
        <v>12.893599999999999</v>
      </c>
      <c r="M254">
        <f>VLOOKUP(A254, BheightCalcs!P$1:S$39, 4, FALSE)</f>
        <v>13</v>
      </c>
    </row>
    <row r="255" spans="1:13" x14ac:dyDescent="0.2">
      <c r="A255" t="s">
        <v>54</v>
      </c>
      <c r="B255">
        <v>2011</v>
      </c>
      <c r="C255" t="s">
        <v>55</v>
      </c>
      <c r="D255" t="s">
        <v>15</v>
      </c>
      <c r="E255" t="s">
        <v>56</v>
      </c>
      <c r="F255">
        <v>66</v>
      </c>
      <c r="G255">
        <v>269</v>
      </c>
      <c r="H255" t="s">
        <v>14</v>
      </c>
      <c r="I255">
        <v>15</v>
      </c>
      <c r="J255" t="b">
        <v>1</v>
      </c>
      <c r="K255" t="str">
        <f t="shared" si="3"/>
        <v>dib012011</v>
      </c>
      <c r="L255">
        <f>VLOOKUP(K255,BheightCalcs!I$1:M$429, 5, FALSE)</f>
        <v>13.4208</v>
      </c>
      <c r="M255">
        <f>VLOOKUP(A255, BheightCalcs!P$1:S$39, 4, FALSE)</f>
        <v>13</v>
      </c>
    </row>
    <row r="256" spans="1:13" x14ac:dyDescent="0.2">
      <c r="A256" t="s">
        <v>54</v>
      </c>
      <c r="B256">
        <v>2011</v>
      </c>
      <c r="C256" t="s">
        <v>55</v>
      </c>
      <c r="D256" t="s">
        <v>12</v>
      </c>
      <c r="E256" t="s">
        <v>57</v>
      </c>
      <c r="F256">
        <v>66</v>
      </c>
      <c r="G256">
        <v>269</v>
      </c>
      <c r="H256" t="s">
        <v>14</v>
      </c>
      <c r="I256">
        <v>15</v>
      </c>
      <c r="J256" t="b">
        <v>1</v>
      </c>
      <c r="K256" t="str">
        <f t="shared" si="3"/>
        <v>dib012011</v>
      </c>
      <c r="L256">
        <f>VLOOKUP(K256,BheightCalcs!I$1:M$429, 5, FALSE)</f>
        <v>13.4208</v>
      </c>
      <c r="M256">
        <f>VLOOKUP(A256, BheightCalcs!P$1:S$39, 4, FALSE)</f>
        <v>13</v>
      </c>
    </row>
    <row r="257" spans="1:13" x14ac:dyDescent="0.2">
      <c r="A257" t="s">
        <v>54</v>
      </c>
      <c r="B257">
        <v>2012</v>
      </c>
      <c r="C257" t="s">
        <v>55</v>
      </c>
      <c r="D257" t="s">
        <v>15</v>
      </c>
      <c r="E257" t="s">
        <v>56</v>
      </c>
      <c r="F257">
        <v>80</v>
      </c>
      <c r="G257">
        <v>305</v>
      </c>
      <c r="H257" t="s">
        <v>14</v>
      </c>
      <c r="I257">
        <v>15</v>
      </c>
      <c r="J257" t="b">
        <v>1</v>
      </c>
      <c r="K257" t="str">
        <f t="shared" si="3"/>
        <v>dib012012</v>
      </c>
      <c r="L257">
        <f>VLOOKUP(K257,BheightCalcs!I$1:M$429, 5, FALSE)</f>
        <v>14.445</v>
      </c>
      <c r="M257">
        <f>VLOOKUP(A257, BheightCalcs!P$1:S$39, 4, FALSE)</f>
        <v>13</v>
      </c>
    </row>
    <row r="258" spans="1:13" x14ac:dyDescent="0.2">
      <c r="A258" t="s">
        <v>54</v>
      </c>
      <c r="B258">
        <v>2012</v>
      </c>
      <c r="C258" t="s">
        <v>55</v>
      </c>
      <c r="D258" t="s">
        <v>12</v>
      </c>
      <c r="E258" t="s">
        <v>57</v>
      </c>
      <c r="F258">
        <v>80</v>
      </c>
      <c r="G258">
        <v>305</v>
      </c>
      <c r="H258" t="s">
        <v>14</v>
      </c>
      <c r="I258">
        <v>15</v>
      </c>
      <c r="J258" t="b">
        <v>1</v>
      </c>
      <c r="K258" t="str">
        <f t="shared" si="3"/>
        <v>dib012012</v>
      </c>
      <c r="L258">
        <f>VLOOKUP(K258,BheightCalcs!I$1:M$429, 5, FALSE)</f>
        <v>14.445</v>
      </c>
      <c r="M258">
        <f>VLOOKUP(A258, BheightCalcs!P$1:S$39, 4, FALSE)</f>
        <v>13</v>
      </c>
    </row>
    <row r="259" spans="1:13" x14ac:dyDescent="0.2">
      <c r="A259" t="s">
        <v>54</v>
      </c>
      <c r="B259">
        <v>2013</v>
      </c>
      <c r="C259" t="s">
        <v>55</v>
      </c>
      <c r="D259" t="s">
        <v>15</v>
      </c>
      <c r="E259" t="s">
        <v>56</v>
      </c>
      <c r="F259">
        <v>36</v>
      </c>
      <c r="G259">
        <v>257</v>
      </c>
      <c r="H259" t="s">
        <v>14</v>
      </c>
      <c r="I259">
        <v>15</v>
      </c>
      <c r="J259" t="b">
        <v>1</v>
      </c>
      <c r="K259" t="str">
        <f t="shared" ref="K259:K322" si="4">CONCATENATE(A259, B259)</f>
        <v>dib012013</v>
      </c>
      <c r="L259">
        <f>VLOOKUP(K259,BheightCalcs!I$1:M$429, 5, FALSE)</f>
        <v>15</v>
      </c>
      <c r="M259">
        <f>VLOOKUP(A259, BheightCalcs!P$1:S$39, 4, FALSE)</f>
        <v>13</v>
      </c>
    </row>
    <row r="260" spans="1:13" x14ac:dyDescent="0.2">
      <c r="A260" t="s">
        <v>54</v>
      </c>
      <c r="B260">
        <v>2013</v>
      </c>
      <c r="C260" t="s">
        <v>55</v>
      </c>
      <c r="D260" t="s">
        <v>12</v>
      </c>
      <c r="E260" t="s">
        <v>57</v>
      </c>
      <c r="F260">
        <v>36</v>
      </c>
      <c r="G260">
        <v>257</v>
      </c>
      <c r="H260" t="s">
        <v>14</v>
      </c>
      <c r="I260">
        <v>15</v>
      </c>
      <c r="J260" t="b">
        <v>1</v>
      </c>
      <c r="K260" t="str">
        <f t="shared" si="4"/>
        <v>dib012013</v>
      </c>
      <c r="L260">
        <f>VLOOKUP(K260,BheightCalcs!I$1:M$429, 5, FALSE)</f>
        <v>15</v>
      </c>
      <c r="M260">
        <f>VLOOKUP(A260, BheightCalcs!P$1:S$39, 4, FALSE)</f>
        <v>13</v>
      </c>
    </row>
    <row r="261" spans="1:13" x14ac:dyDescent="0.2">
      <c r="A261" t="s">
        <v>58</v>
      </c>
      <c r="B261">
        <v>2003</v>
      </c>
      <c r="C261" t="s">
        <v>55</v>
      </c>
      <c r="D261" t="s">
        <v>12</v>
      </c>
      <c r="E261" t="s">
        <v>60</v>
      </c>
      <c r="F261">
        <v>29</v>
      </c>
      <c r="G261">
        <v>254</v>
      </c>
      <c r="H261" t="s">
        <v>14</v>
      </c>
      <c r="I261">
        <v>7</v>
      </c>
      <c r="J261" t="b">
        <v>1</v>
      </c>
      <c r="K261" t="str">
        <f t="shared" si="4"/>
        <v>dib022003</v>
      </c>
      <c r="L261">
        <f>VLOOKUP(K261,BheightCalcs!I$1:M$429, 5, FALSE)</f>
        <v>1.4577499999999999</v>
      </c>
      <c r="M261">
        <f>VLOOKUP(A261, BheightCalcs!P$1:S$39, 4, FALSE)</f>
        <v>10</v>
      </c>
    </row>
    <row r="262" spans="1:13" x14ac:dyDescent="0.2">
      <c r="A262" t="s">
        <v>58</v>
      </c>
      <c r="B262">
        <v>2003</v>
      </c>
      <c r="C262" t="s">
        <v>55</v>
      </c>
      <c r="D262" t="s">
        <v>15</v>
      </c>
      <c r="E262" t="s">
        <v>59</v>
      </c>
      <c r="F262">
        <v>29</v>
      </c>
      <c r="G262">
        <v>254</v>
      </c>
      <c r="H262" t="s">
        <v>14</v>
      </c>
      <c r="I262">
        <v>7</v>
      </c>
      <c r="J262" t="b">
        <v>1</v>
      </c>
      <c r="K262" t="str">
        <f t="shared" si="4"/>
        <v>dib022003</v>
      </c>
      <c r="L262">
        <f>VLOOKUP(K262,BheightCalcs!I$1:M$429, 5, FALSE)</f>
        <v>1.4577499999999999</v>
      </c>
      <c r="M262">
        <f>VLOOKUP(A262, BheightCalcs!P$1:S$39, 4, FALSE)</f>
        <v>10</v>
      </c>
    </row>
    <row r="263" spans="1:13" x14ac:dyDescent="0.2">
      <c r="A263" t="s">
        <v>58</v>
      </c>
      <c r="B263">
        <v>2004</v>
      </c>
      <c r="C263" t="s">
        <v>55</v>
      </c>
      <c r="D263" t="s">
        <v>12</v>
      </c>
      <c r="E263" t="s">
        <v>60</v>
      </c>
      <c r="F263">
        <v>40</v>
      </c>
      <c r="G263">
        <v>278</v>
      </c>
      <c r="H263" t="s">
        <v>14</v>
      </c>
      <c r="I263">
        <v>7</v>
      </c>
      <c r="J263" t="b">
        <v>1</v>
      </c>
      <c r="K263" t="str">
        <f t="shared" si="4"/>
        <v>dib022004</v>
      </c>
      <c r="L263">
        <f>VLOOKUP(K263,BheightCalcs!I$1:M$429, 5, FALSE)</f>
        <v>1.93455</v>
      </c>
      <c r="M263">
        <f>VLOOKUP(A263, BheightCalcs!P$1:S$39, 4, FALSE)</f>
        <v>10</v>
      </c>
    </row>
    <row r="264" spans="1:13" x14ac:dyDescent="0.2">
      <c r="A264" t="s">
        <v>58</v>
      </c>
      <c r="B264">
        <v>2004</v>
      </c>
      <c r="C264" t="s">
        <v>55</v>
      </c>
      <c r="D264" t="s">
        <v>15</v>
      </c>
      <c r="E264" t="s">
        <v>59</v>
      </c>
      <c r="F264">
        <v>40</v>
      </c>
      <c r="G264">
        <v>278</v>
      </c>
      <c r="H264" t="s">
        <v>14</v>
      </c>
      <c r="I264">
        <v>7</v>
      </c>
      <c r="J264" t="b">
        <v>1</v>
      </c>
      <c r="K264" t="str">
        <f t="shared" si="4"/>
        <v>dib022004</v>
      </c>
      <c r="L264">
        <f>VLOOKUP(K264,BheightCalcs!I$1:M$429, 5, FALSE)</f>
        <v>1.93455</v>
      </c>
      <c r="M264">
        <f>VLOOKUP(A264, BheightCalcs!P$1:S$39, 4, FALSE)</f>
        <v>10</v>
      </c>
    </row>
    <row r="265" spans="1:13" x14ac:dyDescent="0.2">
      <c r="A265" t="s">
        <v>58</v>
      </c>
      <c r="B265">
        <v>2005</v>
      </c>
      <c r="C265" t="s">
        <v>55</v>
      </c>
      <c r="D265" t="s">
        <v>12</v>
      </c>
      <c r="E265" t="s">
        <v>60</v>
      </c>
      <c r="F265">
        <v>40</v>
      </c>
      <c r="G265">
        <v>316</v>
      </c>
      <c r="H265" t="s">
        <v>14</v>
      </c>
      <c r="I265">
        <v>7</v>
      </c>
      <c r="J265" t="b">
        <v>1</v>
      </c>
      <c r="K265" t="str">
        <f t="shared" si="4"/>
        <v>dib022005</v>
      </c>
      <c r="L265">
        <f>VLOOKUP(K265,BheightCalcs!I$1:M$429, 5, FALSE)</f>
        <v>2.5550999999999999</v>
      </c>
      <c r="M265">
        <f>VLOOKUP(A265, BheightCalcs!P$1:S$39, 4, FALSE)</f>
        <v>10</v>
      </c>
    </row>
    <row r="266" spans="1:13" x14ac:dyDescent="0.2">
      <c r="A266" t="s">
        <v>58</v>
      </c>
      <c r="B266">
        <v>2005</v>
      </c>
      <c r="C266" t="s">
        <v>55</v>
      </c>
      <c r="D266" t="s">
        <v>15</v>
      </c>
      <c r="E266" t="s">
        <v>59</v>
      </c>
      <c r="F266">
        <v>40</v>
      </c>
      <c r="G266">
        <v>316</v>
      </c>
      <c r="H266" t="s">
        <v>14</v>
      </c>
      <c r="I266">
        <v>7</v>
      </c>
      <c r="J266" t="b">
        <v>1</v>
      </c>
      <c r="K266" t="str">
        <f t="shared" si="4"/>
        <v>dib022005</v>
      </c>
      <c r="L266">
        <f>VLOOKUP(K266,BheightCalcs!I$1:M$429, 5, FALSE)</f>
        <v>2.5550999999999999</v>
      </c>
      <c r="M266">
        <f>VLOOKUP(A266, BheightCalcs!P$1:S$39, 4, FALSE)</f>
        <v>10</v>
      </c>
    </row>
    <row r="267" spans="1:13" x14ac:dyDescent="0.2">
      <c r="A267" t="s">
        <v>58</v>
      </c>
      <c r="B267">
        <v>2006</v>
      </c>
      <c r="C267" t="s">
        <v>55</v>
      </c>
      <c r="D267" t="s">
        <v>15</v>
      </c>
      <c r="E267" t="s">
        <v>59</v>
      </c>
      <c r="F267">
        <v>25</v>
      </c>
      <c r="G267">
        <v>294</v>
      </c>
      <c r="H267" t="s">
        <v>14</v>
      </c>
      <c r="I267">
        <v>7</v>
      </c>
      <c r="J267" t="b">
        <v>1</v>
      </c>
      <c r="K267" t="str">
        <f t="shared" si="4"/>
        <v>dib022006</v>
      </c>
      <c r="L267">
        <f>VLOOKUP(K267,BheightCalcs!I$1:M$429, 5, FALSE)</f>
        <v>3.3043499999999999</v>
      </c>
      <c r="M267">
        <f>VLOOKUP(A267, BheightCalcs!P$1:S$39, 4, FALSE)</f>
        <v>10</v>
      </c>
    </row>
    <row r="268" spans="1:13" x14ac:dyDescent="0.2">
      <c r="A268" t="s">
        <v>58</v>
      </c>
      <c r="B268">
        <v>2006</v>
      </c>
      <c r="C268" t="s">
        <v>55</v>
      </c>
      <c r="D268" t="s">
        <v>12</v>
      </c>
      <c r="E268" t="s">
        <v>60</v>
      </c>
      <c r="F268">
        <v>25</v>
      </c>
      <c r="G268">
        <v>294</v>
      </c>
      <c r="H268" t="s">
        <v>14</v>
      </c>
      <c r="I268">
        <v>7</v>
      </c>
      <c r="J268" t="b">
        <v>1</v>
      </c>
      <c r="K268" t="str">
        <f t="shared" si="4"/>
        <v>dib022006</v>
      </c>
      <c r="L268">
        <f>VLOOKUP(K268,BheightCalcs!I$1:M$429, 5, FALSE)</f>
        <v>3.3043499999999999</v>
      </c>
      <c r="M268">
        <f>VLOOKUP(A268, BheightCalcs!P$1:S$39, 4, FALSE)</f>
        <v>10</v>
      </c>
    </row>
    <row r="269" spans="1:13" x14ac:dyDescent="0.2">
      <c r="A269" t="s">
        <v>58</v>
      </c>
      <c r="B269">
        <v>2007</v>
      </c>
      <c r="C269" t="s">
        <v>55</v>
      </c>
      <c r="D269" t="s">
        <v>15</v>
      </c>
      <c r="E269" t="s">
        <v>59</v>
      </c>
      <c r="F269">
        <v>66</v>
      </c>
      <c r="G269">
        <v>286</v>
      </c>
      <c r="H269" t="s">
        <v>14</v>
      </c>
      <c r="I269">
        <v>7</v>
      </c>
      <c r="J269" t="b">
        <v>1</v>
      </c>
      <c r="K269" t="str">
        <f t="shared" si="4"/>
        <v>dib022007</v>
      </c>
      <c r="L269">
        <f>VLOOKUP(K269,BheightCalcs!I$1:M$429, 5, FALSE)</f>
        <v>3.9274</v>
      </c>
      <c r="M269">
        <f>VLOOKUP(A269, BheightCalcs!P$1:S$39, 4, FALSE)</f>
        <v>10</v>
      </c>
    </row>
    <row r="270" spans="1:13" x14ac:dyDescent="0.2">
      <c r="A270" t="s">
        <v>58</v>
      </c>
      <c r="B270">
        <v>2007</v>
      </c>
      <c r="C270" t="s">
        <v>55</v>
      </c>
      <c r="D270" t="s">
        <v>12</v>
      </c>
      <c r="E270" t="s">
        <v>60</v>
      </c>
      <c r="F270">
        <v>66</v>
      </c>
      <c r="G270">
        <v>286</v>
      </c>
      <c r="H270" t="s">
        <v>14</v>
      </c>
      <c r="I270">
        <v>7</v>
      </c>
      <c r="J270" t="b">
        <v>1</v>
      </c>
      <c r="K270" t="str">
        <f t="shared" si="4"/>
        <v>dib022007</v>
      </c>
      <c r="L270">
        <f>VLOOKUP(K270,BheightCalcs!I$1:M$429, 5, FALSE)</f>
        <v>3.9274</v>
      </c>
      <c r="M270">
        <f>VLOOKUP(A270, BheightCalcs!P$1:S$39, 4, FALSE)</f>
        <v>10</v>
      </c>
    </row>
    <row r="271" spans="1:13" x14ac:dyDescent="0.2">
      <c r="A271" t="s">
        <v>58</v>
      </c>
      <c r="B271">
        <v>2008</v>
      </c>
      <c r="C271" t="s">
        <v>55</v>
      </c>
      <c r="D271" t="s">
        <v>12</v>
      </c>
      <c r="E271" t="s">
        <v>60</v>
      </c>
      <c r="F271">
        <v>53</v>
      </c>
      <c r="G271">
        <v>301</v>
      </c>
      <c r="H271" t="s">
        <v>14</v>
      </c>
      <c r="I271">
        <v>7</v>
      </c>
      <c r="J271" t="b">
        <v>1</v>
      </c>
      <c r="K271" t="str">
        <f t="shared" si="4"/>
        <v>dib022008</v>
      </c>
      <c r="L271">
        <f>VLOOKUP(K271,BheightCalcs!I$1:M$429, 5, FALSE)</f>
        <v>4.47485</v>
      </c>
      <c r="M271">
        <f>VLOOKUP(A271, BheightCalcs!P$1:S$39, 4, FALSE)</f>
        <v>10</v>
      </c>
    </row>
    <row r="272" spans="1:13" x14ac:dyDescent="0.2">
      <c r="A272" t="s">
        <v>58</v>
      </c>
      <c r="B272">
        <v>2008</v>
      </c>
      <c r="C272" t="s">
        <v>55</v>
      </c>
      <c r="D272" t="s">
        <v>15</v>
      </c>
      <c r="E272" t="s">
        <v>59</v>
      </c>
      <c r="F272">
        <v>53</v>
      </c>
      <c r="G272">
        <v>301</v>
      </c>
      <c r="H272" t="s">
        <v>14</v>
      </c>
      <c r="I272">
        <v>7</v>
      </c>
      <c r="J272" t="b">
        <v>1</v>
      </c>
      <c r="K272" t="str">
        <f t="shared" si="4"/>
        <v>dib022008</v>
      </c>
      <c r="L272">
        <f>VLOOKUP(K272,BheightCalcs!I$1:M$429, 5, FALSE)</f>
        <v>4.47485</v>
      </c>
      <c r="M272">
        <f>VLOOKUP(A272, BheightCalcs!P$1:S$39, 4, FALSE)</f>
        <v>10</v>
      </c>
    </row>
    <row r="273" spans="1:13" x14ac:dyDescent="0.2">
      <c r="A273" t="s">
        <v>58</v>
      </c>
      <c r="B273">
        <v>2009</v>
      </c>
      <c r="C273" t="s">
        <v>55</v>
      </c>
      <c r="D273" t="s">
        <v>15</v>
      </c>
      <c r="E273" t="s">
        <v>59</v>
      </c>
      <c r="F273">
        <v>43</v>
      </c>
      <c r="G273">
        <v>288</v>
      </c>
      <c r="H273" t="s">
        <v>14</v>
      </c>
      <c r="I273">
        <v>7</v>
      </c>
      <c r="J273" t="b">
        <v>1</v>
      </c>
      <c r="K273" t="str">
        <f t="shared" si="4"/>
        <v>dib022009</v>
      </c>
      <c r="L273">
        <f>VLOOKUP(K273,BheightCalcs!I$1:M$429, 5, FALSE)</f>
        <v>5.1786500000000002</v>
      </c>
      <c r="M273">
        <f>VLOOKUP(A273, BheightCalcs!P$1:S$39, 4, FALSE)</f>
        <v>10</v>
      </c>
    </row>
    <row r="274" spans="1:13" x14ac:dyDescent="0.2">
      <c r="A274" t="s">
        <v>58</v>
      </c>
      <c r="B274">
        <v>2009</v>
      </c>
      <c r="C274" t="s">
        <v>55</v>
      </c>
      <c r="D274" t="s">
        <v>12</v>
      </c>
      <c r="E274" t="s">
        <v>60</v>
      </c>
      <c r="F274">
        <v>43</v>
      </c>
      <c r="G274">
        <v>288</v>
      </c>
      <c r="H274" t="s">
        <v>14</v>
      </c>
      <c r="I274">
        <v>7</v>
      </c>
      <c r="J274" t="b">
        <v>1</v>
      </c>
      <c r="K274" t="str">
        <f t="shared" si="4"/>
        <v>dib022009</v>
      </c>
      <c r="L274">
        <f>VLOOKUP(K274,BheightCalcs!I$1:M$429, 5, FALSE)</f>
        <v>5.1786500000000002</v>
      </c>
      <c r="M274">
        <f>VLOOKUP(A274, BheightCalcs!P$1:S$39, 4, FALSE)</f>
        <v>10</v>
      </c>
    </row>
    <row r="275" spans="1:13" x14ac:dyDescent="0.2">
      <c r="A275" t="s">
        <v>58</v>
      </c>
      <c r="B275">
        <v>2010</v>
      </c>
      <c r="C275" t="s">
        <v>55</v>
      </c>
      <c r="D275" t="s">
        <v>12</v>
      </c>
      <c r="E275" t="s">
        <v>60</v>
      </c>
      <c r="F275">
        <v>40</v>
      </c>
      <c r="G275">
        <v>282</v>
      </c>
      <c r="H275" t="s">
        <v>14</v>
      </c>
      <c r="I275">
        <v>7</v>
      </c>
      <c r="J275" t="b">
        <v>1</v>
      </c>
      <c r="K275" t="str">
        <f t="shared" si="4"/>
        <v>dib022010</v>
      </c>
      <c r="L275">
        <f>VLOOKUP(K275,BheightCalcs!I$1:M$429, 5, FALSE)</f>
        <v>5.8319999999999999</v>
      </c>
      <c r="M275">
        <f>VLOOKUP(A275, BheightCalcs!P$1:S$39, 4, FALSE)</f>
        <v>10</v>
      </c>
    </row>
    <row r="276" spans="1:13" x14ac:dyDescent="0.2">
      <c r="A276" t="s">
        <v>58</v>
      </c>
      <c r="B276">
        <v>2010</v>
      </c>
      <c r="C276" t="s">
        <v>55</v>
      </c>
      <c r="D276" t="s">
        <v>15</v>
      </c>
      <c r="E276" t="s">
        <v>59</v>
      </c>
      <c r="F276">
        <v>40</v>
      </c>
      <c r="G276">
        <v>282</v>
      </c>
      <c r="H276" t="s">
        <v>14</v>
      </c>
      <c r="I276">
        <v>7</v>
      </c>
      <c r="J276" t="b">
        <v>1</v>
      </c>
      <c r="K276" t="str">
        <f t="shared" si="4"/>
        <v>dib022010</v>
      </c>
      <c r="L276">
        <f>VLOOKUP(K276,BheightCalcs!I$1:M$429, 5, FALSE)</f>
        <v>5.8319999999999999</v>
      </c>
      <c r="M276">
        <f>VLOOKUP(A276, BheightCalcs!P$1:S$39, 4, FALSE)</f>
        <v>10</v>
      </c>
    </row>
    <row r="277" spans="1:13" x14ac:dyDescent="0.2">
      <c r="A277" t="s">
        <v>58</v>
      </c>
      <c r="B277">
        <v>2011</v>
      </c>
      <c r="C277" t="s">
        <v>55</v>
      </c>
      <c r="D277" t="s">
        <v>15</v>
      </c>
      <c r="E277" t="s">
        <v>59</v>
      </c>
      <c r="F277">
        <v>66</v>
      </c>
      <c r="G277">
        <v>269</v>
      </c>
      <c r="H277" t="s">
        <v>14</v>
      </c>
      <c r="I277">
        <v>7</v>
      </c>
      <c r="J277" t="b">
        <v>1</v>
      </c>
      <c r="K277" t="str">
        <f t="shared" si="4"/>
        <v>dib022011</v>
      </c>
      <c r="L277">
        <f>VLOOKUP(K277,BheightCalcs!I$1:M$429, 5, FALSE)</f>
        <v>6.3567</v>
      </c>
      <c r="M277">
        <f>VLOOKUP(A277, BheightCalcs!P$1:S$39, 4, FALSE)</f>
        <v>10</v>
      </c>
    </row>
    <row r="278" spans="1:13" x14ac:dyDescent="0.2">
      <c r="A278" t="s">
        <v>58</v>
      </c>
      <c r="B278">
        <v>2011</v>
      </c>
      <c r="C278" t="s">
        <v>55</v>
      </c>
      <c r="D278" t="s">
        <v>12</v>
      </c>
      <c r="E278" t="s">
        <v>60</v>
      </c>
      <c r="F278">
        <v>66</v>
      </c>
      <c r="G278">
        <v>269</v>
      </c>
      <c r="H278" t="s">
        <v>14</v>
      </c>
      <c r="I278">
        <v>7</v>
      </c>
      <c r="J278" t="b">
        <v>1</v>
      </c>
      <c r="K278" t="str">
        <f t="shared" si="4"/>
        <v>dib022011</v>
      </c>
      <c r="L278">
        <f>VLOOKUP(K278,BheightCalcs!I$1:M$429, 5, FALSE)</f>
        <v>6.3567</v>
      </c>
      <c r="M278">
        <f>VLOOKUP(A278, BheightCalcs!P$1:S$39, 4, FALSE)</f>
        <v>10</v>
      </c>
    </row>
    <row r="279" spans="1:13" x14ac:dyDescent="0.2">
      <c r="A279" t="s">
        <v>58</v>
      </c>
      <c r="B279">
        <v>2012</v>
      </c>
      <c r="C279" t="s">
        <v>55</v>
      </c>
      <c r="D279" t="s">
        <v>15</v>
      </c>
      <c r="E279" t="s">
        <v>59</v>
      </c>
      <c r="F279">
        <v>80</v>
      </c>
      <c r="G279">
        <v>305</v>
      </c>
      <c r="H279" t="s">
        <v>14</v>
      </c>
      <c r="I279">
        <v>7</v>
      </c>
      <c r="J279" t="b">
        <v>1</v>
      </c>
      <c r="K279" t="str">
        <f t="shared" si="4"/>
        <v>dib022012</v>
      </c>
      <c r="L279">
        <f>VLOOKUP(K279,BheightCalcs!I$1:M$429, 5, FALSE)</f>
        <v>6.7225000000000001</v>
      </c>
      <c r="M279">
        <f>VLOOKUP(A279, BheightCalcs!P$1:S$39, 4, FALSE)</f>
        <v>10</v>
      </c>
    </row>
    <row r="280" spans="1:13" x14ac:dyDescent="0.2">
      <c r="A280" t="s">
        <v>58</v>
      </c>
      <c r="B280">
        <v>2012</v>
      </c>
      <c r="C280" t="s">
        <v>55</v>
      </c>
      <c r="D280" t="s">
        <v>12</v>
      </c>
      <c r="E280" t="s">
        <v>60</v>
      </c>
      <c r="F280">
        <v>80</v>
      </c>
      <c r="G280">
        <v>305</v>
      </c>
      <c r="H280" t="s">
        <v>14</v>
      </c>
      <c r="I280">
        <v>7</v>
      </c>
      <c r="J280" t="b">
        <v>1</v>
      </c>
      <c r="K280" t="str">
        <f t="shared" si="4"/>
        <v>dib022012</v>
      </c>
      <c r="L280">
        <f>VLOOKUP(K280,BheightCalcs!I$1:M$429, 5, FALSE)</f>
        <v>6.7225000000000001</v>
      </c>
      <c r="M280">
        <f>VLOOKUP(A280, BheightCalcs!P$1:S$39, 4, FALSE)</f>
        <v>10</v>
      </c>
    </row>
    <row r="281" spans="1:13" x14ac:dyDescent="0.2">
      <c r="A281" t="s">
        <v>58</v>
      </c>
      <c r="B281">
        <v>2013</v>
      </c>
      <c r="C281" t="s">
        <v>55</v>
      </c>
      <c r="D281" t="s">
        <v>15</v>
      </c>
      <c r="E281" t="s">
        <v>59</v>
      </c>
      <c r="F281">
        <v>36</v>
      </c>
      <c r="G281">
        <v>257</v>
      </c>
      <c r="H281" t="s">
        <v>14</v>
      </c>
      <c r="I281">
        <v>7</v>
      </c>
      <c r="J281" t="b">
        <v>1</v>
      </c>
      <c r="K281" t="str">
        <f t="shared" si="4"/>
        <v>dib022013</v>
      </c>
      <c r="L281">
        <f>VLOOKUP(K281,BheightCalcs!I$1:M$429, 5, FALSE)</f>
        <v>7</v>
      </c>
      <c r="M281">
        <f>VLOOKUP(A281, BheightCalcs!P$1:S$39, 4, FALSE)</f>
        <v>10</v>
      </c>
    </row>
    <row r="282" spans="1:13" x14ac:dyDescent="0.2">
      <c r="A282" t="s">
        <v>58</v>
      </c>
      <c r="B282">
        <v>2013</v>
      </c>
      <c r="C282" t="s">
        <v>55</v>
      </c>
      <c r="D282" t="s">
        <v>12</v>
      </c>
      <c r="E282" t="s">
        <v>60</v>
      </c>
      <c r="F282">
        <v>36</v>
      </c>
      <c r="G282">
        <v>257</v>
      </c>
      <c r="H282" t="s">
        <v>14</v>
      </c>
      <c r="I282">
        <v>7</v>
      </c>
      <c r="J282" t="b">
        <v>1</v>
      </c>
      <c r="K282" t="str">
        <f t="shared" si="4"/>
        <v>dib022013</v>
      </c>
      <c r="L282">
        <f>VLOOKUP(K282,BheightCalcs!I$1:M$429, 5, FALSE)</f>
        <v>7</v>
      </c>
      <c r="M282">
        <f>VLOOKUP(A282, BheightCalcs!P$1:S$39, 4, FALSE)</f>
        <v>10</v>
      </c>
    </row>
    <row r="283" spans="1:13" x14ac:dyDescent="0.2">
      <c r="A283" t="s">
        <v>61</v>
      </c>
      <c r="B283">
        <v>2005</v>
      </c>
      <c r="C283" t="s">
        <v>55</v>
      </c>
      <c r="D283" t="s">
        <v>12</v>
      </c>
      <c r="E283" t="s">
        <v>62</v>
      </c>
      <c r="F283">
        <v>40</v>
      </c>
      <c r="G283">
        <v>316</v>
      </c>
      <c r="H283" t="s">
        <v>14</v>
      </c>
      <c r="I283">
        <v>8</v>
      </c>
      <c r="J283" t="b">
        <v>1</v>
      </c>
      <c r="K283" t="str">
        <f t="shared" si="4"/>
        <v>dib032005</v>
      </c>
      <c r="L283">
        <f>VLOOKUP(K283,BheightCalcs!I$1:M$429, 5, FALSE)</f>
        <v>2.8638999999999992</v>
      </c>
      <c r="M283">
        <f>VLOOKUP(A283, BheightCalcs!P$1:S$39, 4, FALSE)</f>
        <v>8</v>
      </c>
    </row>
    <row r="284" spans="1:13" x14ac:dyDescent="0.2">
      <c r="A284" t="s">
        <v>61</v>
      </c>
      <c r="B284">
        <v>2005</v>
      </c>
      <c r="C284" t="s">
        <v>55</v>
      </c>
      <c r="D284" t="s">
        <v>15</v>
      </c>
      <c r="E284" t="s">
        <v>63</v>
      </c>
      <c r="F284">
        <v>40</v>
      </c>
      <c r="G284">
        <v>316</v>
      </c>
      <c r="H284" t="s">
        <v>14</v>
      </c>
      <c r="I284">
        <v>8</v>
      </c>
      <c r="J284" t="b">
        <v>1</v>
      </c>
      <c r="K284" t="str">
        <f t="shared" si="4"/>
        <v>dib032005</v>
      </c>
      <c r="L284">
        <f>VLOOKUP(K284,BheightCalcs!I$1:M$429, 5, FALSE)</f>
        <v>2.8638999999999992</v>
      </c>
      <c r="M284">
        <f>VLOOKUP(A284, BheightCalcs!P$1:S$39, 4, FALSE)</f>
        <v>8</v>
      </c>
    </row>
    <row r="285" spans="1:13" x14ac:dyDescent="0.2">
      <c r="A285" t="s">
        <v>61</v>
      </c>
      <c r="B285">
        <v>2006</v>
      </c>
      <c r="C285" t="s">
        <v>55</v>
      </c>
      <c r="D285" t="s">
        <v>12</v>
      </c>
      <c r="E285" t="s">
        <v>62</v>
      </c>
      <c r="F285">
        <v>25</v>
      </c>
      <c r="G285">
        <v>294</v>
      </c>
      <c r="H285" t="s">
        <v>14</v>
      </c>
      <c r="I285">
        <v>8</v>
      </c>
      <c r="J285" t="b">
        <v>1</v>
      </c>
      <c r="K285" t="str">
        <f t="shared" si="4"/>
        <v>dib032006</v>
      </c>
      <c r="L285">
        <f>VLOOKUP(K285,BheightCalcs!I$1:M$429, 5, FALSE)</f>
        <v>3.310449999999999</v>
      </c>
      <c r="M285">
        <f>VLOOKUP(A285, BheightCalcs!P$1:S$39, 4, FALSE)</f>
        <v>8</v>
      </c>
    </row>
    <row r="286" spans="1:13" x14ac:dyDescent="0.2">
      <c r="A286" t="s">
        <v>61</v>
      </c>
      <c r="B286">
        <v>2006</v>
      </c>
      <c r="C286" t="s">
        <v>55</v>
      </c>
      <c r="D286" t="s">
        <v>15</v>
      </c>
      <c r="E286" t="s">
        <v>63</v>
      </c>
      <c r="F286">
        <v>25</v>
      </c>
      <c r="G286">
        <v>294</v>
      </c>
      <c r="H286" t="s">
        <v>14</v>
      </c>
      <c r="I286">
        <v>8</v>
      </c>
      <c r="J286" t="b">
        <v>1</v>
      </c>
      <c r="K286" t="str">
        <f t="shared" si="4"/>
        <v>dib032006</v>
      </c>
      <c r="L286">
        <f>VLOOKUP(K286,BheightCalcs!I$1:M$429, 5, FALSE)</f>
        <v>3.310449999999999</v>
      </c>
      <c r="M286">
        <f>VLOOKUP(A286, BheightCalcs!P$1:S$39, 4, FALSE)</f>
        <v>8</v>
      </c>
    </row>
    <row r="287" spans="1:13" x14ac:dyDescent="0.2">
      <c r="A287" t="s">
        <v>61</v>
      </c>
      <c r="B287">
        <v>2007</v>
      </c>
      <c r="C287" t="s">
        <v>55</v>
      </c>
      <c r="D287" t="s">
        <v>15</v>
      </c>
      <c r="E287" t="s">
        <v>63</v>
      </c>
      <c r="F287">
        <v>66</v>
      </c>
      <c r="G287">
        <v>286</v>
      </c>
      <c r="H287" t="s">
        <v>14</v>
      </c>
      <c r="I287">
        <v>8</v>
      </c>
      <c r="J287" t="b">
        <v>1</v>
      </c>
      <c r="K287" t="str">
        <f t="shared" si="4"/>
        <v>dib032007</v>
      </c>
      <c r="L287">
        <f>VLOOKUP(K287,BheightCalcs!I$1:M$429, 5, FALSE)</f>
        <v>4.0293499999999991</v>
      </c>
      <c r="M287">
        <f>VLOOKUP(A287, BheightCalcs!P$1:S$39, 4, FALSE)</f>
        <v>8</v>
      </c>
    </row>
    <row r="288" spans="1:13" x14ac:dyDescent="0.2">
      <c r="A288" t="s">
        <v>61</v>
      </c>
      <c r="B288">
        <v>2007</v>
      </c>
      <c r="C288" t="s">
        <v>55</v>
      </c>
      <c r="D288" t="s">
        <v>12</v>
      </c>
      <c r="E288" t="s">
        <v>62</v>
      </c>
      <c r="F288">
        <v>66</v>
      </c>
      <c r="G288">
        <v>286</v>
      </c>
      <c r="H288" t="s">
        <v>14</v>
      </c>
      <c r="I288">
        <v>8</v>
      </c>
      <c r="J288" t="b">
        <v>1</v>
      </c>
      <c r="K288" t="str">
        <f t="shared" si="4"/>
        <v>dib032007</v>
      </c>
      <c r="L288">
        <f>VLOOKUP(K288,BheightCalcs!I$1:M$429, 5, FALSE)</f>
        <v>4.0293499999999991</v>
      </c>
      <c r="M288">
        <f>VLOOKUP(A288, BheightCalcs!P$1:S$39, 4, FALSE)</f>
        <v>8</v>
      </c>
    </row>
    <row r="289" spans="1:13" x14ac:dyDescent="0.2">
      <c r="A289" t="s">
        <v>61</v>
      </c>
      <c r="B289">
        <v>2008</v>
      </c>
      <c r="C289" t="s">
        <v>55</v>
      </c>
      <c r="D289" t="s">
        <v>12</v>
      </c>
      <c r="E289" t="s">
        <v>62</v>
      </c>
      <c r="F289">
        <v>53</v>
      </c>
      <c r="G289">
        <v>301</v>
      </c>
      <c r="H289" t="s">
        <v>14</v>
      </c>
      <c r="I289">
        <v>8</v>
      </c>
      <c r="J289" t="b">
        <v>1</v>
      </c>
      <c r="K289" t="str">
        <f t="shared" si="4"/>
        <v>dib032008</v>
      </c>
      <c r="L289">
        <f>VLOOKUP(K289,BheightCalcs!I$1:M$429, 5, FALSE)</f>
        <v>4.677649999999999</v>
      </c>
      <c r="M289">
        <f>VLOOKUP(A289, BheightCalcs!P$1:S$39, 4, FALSE)</f>
        <v>8</v>
      </c>
    </row>
    <row r="290" spans="1:13" x14ac:dyDescent="0.2">
      <c r="A290" t="s">
        <v>61</v>
      </c>
      <c r="B290">
        <v>2008</v>
      </c>
      <c r="C290" t="s">
        <v>55</v>
      </c>
      <c r="D290" t="s">
        <v>15</v>
      </c>
      <c r="E290" t="s">
        <v>63</v>
      </c>
      <c r="F290">
        <v>53</v>
      </c>
      <c r="G290">
        <v>301</v>
      </c>
      <c r="H290" t="s">
        <v>14</v>
      </c>
      <c r="I290">
        <v>8</v>
      </c>
      <c r="J290" t="b">
        <v>1</v>
      </c>
      <c r="K290" t="str">
        <f t="shared" si="4"/>
        <v>dib032008</v>
      </c>
      <c r="L290">
        <f>VLOOKUP(K290,BheightCalcs!I$1:M$429, 5, FALSE)</f>
        <v>4.677649999999999</v>
      </c>
      <c r="M290">
        <f>VLOOKUP(A290, BheightCalcs!P$1:S$39, 4, FALSE)</f>
        <v>8</v>
      </c>
    </row>
    <row r="291" spans="1:13" x14ac:dyDescent="0.2">
      <c r="A291" t="s">
        <v>61</v>
      </c>
      <c r="B291">
        <v>2009</v>
      </c>
      <c r="C291" t="s">
        <v>55</v>
      </c>
      <c r="D291" t="s">
        <v>15</v>
      </c>
      <c r="E291" t="s">
        <v>63</v>
      </c>
      <c r="F291">
        <v>43</v>
      </c>
      <c r="G291">
        <v>288</v>
      </c>
      <c r="H291" t="s">
        <v>14</v>
      </c>
      <c r="I291">
        <v>8</v>
      </c>
      <c r="J291" t="b">
        <v>1</v>
      </c>
      <c r="K291" t="str">
        <f t="shared" si="4"/>
        <v>dib032009</v>
      </c>
      <c r="L291">
        <f>VLOOKUP(K291,BheightCalcs!I$1:M$429, 5, FALSE)</f>
        <v>5.1443499999999993</v>
      </c>
      <c r="M291">
        <f>VLOOKUP(A291, BheightCalcs!P$1:S$39, 4, FALSE)</f>
        <v>8</v>
      </c>
    </row>
    <row r="292" spans="1:13" x14ac:dyDescent="0.2">
      <c r="A292" t="s">
        <v>61</v>
      </c>
      <c r="B292">
        <v>2009</v>
      </c>
      <c r="C292" t="s">
        <v>55</v>
      </c>
      <c r="D292" t="s">
        <v>12</v>
      </c>
      <c r="E292" t="s">
        <v>62</v>
      </c>
      <c r="F292">
        <v>43</v>
      </c>
      <c r="G292">
        <v>288</v>
      </c>
      <c r="H292" t="s">
        <v>14</v>
      </c>
      <c r="I292">
        <v>8</v>
      </c>
      <c r="J292" t="b">
        <v>1</v>
      </c>
      <c r="K292" t="str">
        <f t="shared" si="4"/>
        <v>dib032009</v>
      </c>
      <c r="L292">
        <f>VLOOKUP(K292,BheightCalcs!I$1:M$429, 5, FALSE)</f>
        <v>5.1443499999999993</v>
      </c>
      <c r="M292">
        <f>VLOOKUP(A292, BheightCalcs!P$1:S$39, 4, FALSE)</f>
        <v>8</v>
      </c>
    </row>
    <row r="293" spans="1:13" x14ac:dyDescent="0.2">
      <c r="A293" t="s">
        <v>61</v>
      </c>
      <c r="B293">
        <v>2010</v>
      </c>
      <c r="C293" t="s">
        <v>55</v>
      </c>
      <c r="D293" t="s">
        <v>12</v>
      </c>
      <c r="E293" t="s">
        <v>62</v>
      </c>
      <c r="F293">
        <v>40</v>
      </c>
      <c r="G293">
        <v>282</v>
      </c>
      <c r="H293" t="s">
        <v>14</v>
      </c>
      <c r="I293">
        <v>8</v>
      </c>
      <c r="J293" t="b">
        <v>1</v>
      </c>
      <c r="K293" t="str">
        <f t="shared" si="4"/>
        <v>dib032010</v>
      </c>
      <c r="L293">
        <f>VLOOKUP(K293,BheightCalcs!I$1:M$429, 5, FALSE)</f>
        <v>5.9666999999999994</v>
      </c>
      <c r="M293">
        <f>VLOOKUP(A293, BheightCalcs!P$1:S$39, 4, FALSE)</f>
        <v>8</v>
      </c>
    </row>
    <row r="294" spans="1:13" x14ac:dyDescent="0.2">
      <c r="A294" t="s">
        <v>61</v>
      </c>
      <c r="B294">
        <v>2010</v>
      </c>
      <c r="C294" t="s">
        <v>55</v>
      </c>
      <c r="D294" t="s">
        <v>15</v>
      </c>
      <c r="E294" t="s">
        <v>63</v>
      </c>
      <c r="F294">
        <v>40</v>
      </c>
      <c r="G294">
        <v>282</v>
      </c>
      <c r="H294" t="s">
        <v>14</v>
      </c>
      <c r="I294">
        <v>8</v>
      </c>
      <c r="J294" t="b">
        <v>1</v>
      </c>
      <c r="K294" t="str">
        <f t="shared" si="4"/>
        <v>dib032010</v>
      </c>
      <c r="L294">
        <f>VLOOKUP(K294,BheightCalcs!I$1:M$429, 5, FALSE)</f>
        <v>5.9666999999999994</v>
      </c>
      <c r="M294">
        <f>VLOOKUP(A294, BheightCalcs!P$1:S$39, 4, FALSE)</f>
        <v>8</v>
      </c>
    </row>
    <row r="295" spans="1:13" x14ac:dyDescent="0.2">
      <c r="A295" t="s">
        <v>61</v>
      </c>
      <c r="B295">
        <v>2011</v>
      </c>
      <c r="C295" t="s">
        <v>55</v>
      </c>
      <c r="D295" t="s">
        <v>15</v>
      </c>
      <c r="E295" t="s">
        <v>63</v>
      </c>
      <c r="F295">
        <v>66</v>
      </c>
      <c r="G295">
        <v>269</v>
      </c>
      <c r="H295" t="s">
        <v>14</v>
      </c>
      <c r="I295">
        <v>8</v>
      </c>
      <c r="J295" t="b">
        <v>1</v>
      </c>
      <c r="K295" t="str">
        <f t="shared" si="4"/>
        <v>dib032011</v>
      </c>
      <c r="L295">
        <f>VLOOKUP(K295,BheightCalcs!I$1:M$429, 5, FALSE)</f>
        <v>6.7512999999999996</v>
      </c>
      <c r="M295">
        <f>VLOOKUP(A295, BheightCalcs!P$1:S$39, 4, FALSE)</f>
        <v>8</v>
      </c>
    </row>
    <row r="296" spans="1:13" x14ac:dyDescent="0.2">
      <c r="A296" t="s">
        <v>61</v>
      </c>
      <c r="B296">
        <v>2011</v>
      </c>
      <c r="C296" t="s">
        <v>55</v>
      </c>
      <c r="D296" t="s">
        <v>12</v>
      </c>
      <c r="E296" t="s">
        <v>62</v>
      </c>
      <c r="F296">
        <v>66</v>
      </c>
      <c r="G296">
        <v>269</v>
      </c>
      <c r="H296" t="s">
        <v>14</v>
      </c>
      <c r="I296">
        <v>8</v>
      </c>
      <c r="J296" t="b">
        <v>1</v>
      </c>
      <c r="K296" t="str">
        <f t="shared" si="4"/>
        <v>dib032011</v>
      </c>
      <c r="L296">
        <f>VLOOKUP(K296,BheightCalcs!I$1:M$429, 5, FALSE)</f>
        <v>6.7512999999999996</v>
      </c>
      <c r="M296">
        <f>VLOOKUP(A296, BheightCalcs!P$1:S$39, 4, FALSE)</f>
        <v>8</v>
      </c>
    </row>
    <row r="297" spans="1:13" x14ac:dyDescent="0.2">
      <c r="A297" t="s">
        <v>61</v>
      </c>
      <c r="B297">
        <v>2012</v>
      </c>
      <c r="C297" t="s">
        <v>55</v>
      </c>
      <c r="D297" t="s">
        <v>12</v>
      </c>
      <c r="E297" t="s">
        <v>62</v>
      </c>
      <c r="F297">
        <v>80</v>
      </c>
      <c r="G297">
        <v>305</v>
      </c>
      <c r="H297" t="s">
        <v>14</v>
      </c>
      <c r="I297">
        <v>8</v>
      </c>
      <c r="J297" t="b">
        <v>1</v>
      </c>
      <c r="K297" t="str">
        <f t="shared" si="4"/>
        <v>dib032012</v>
      </c>
      <c r="L297">
        <f>VLOOKUP(K297,BheightCalcs!I$1:M$429, 5, FALSE)</f>
        <v>7.5736999999999997</v>
      </c>
      <c r="M297">
        <f>VLOOKUP(A297, BheightCalcs!P$1:S$39, 4, FALSE)</f>
        <v>8</v>
      </c>
    </row>
    <row r="298" spans="1:13" x14ac:dyDescent="0.2">
      <c r="A298" t="s">
        <v>61</v>
      </c>
      <c r="B298">
        <v>2012</v>
      </c>
      <c r="C298" t="s">
        <v>55</v>
      </c>
      <c r="D298" t="s">
        <v>15</v>
      </c>
      <c r="E298" t="s">
        <v>63</v>
      </c>
      <c r="F298">
        <v>80</v>
      </c>
      <c r="G298">
        <v>305</v>
      </c>
      <c r="H298" t="s">
        <v>14</v>
      </c>
      <c r="I298">
        <v>8</v>
      </c>
      <c r="J298" t="b">
        <v>1</v>
      </c>
      <c r="K298" t="str">
        <f t="shared" si="4"/>
        <v>dib032012</v>
      </c>
      <c r="L298">
        <f>VLOOKUP(K298,BheightCalcs!I$1:M$429, 5, FALSE)</f>
        <v>7.5736999999999997</v>
      </c>
      <c r="M298">
        <f>VLOOKUP(A298, BheightCalcs!P$1:S$39, 4, FALSE)</f>
        <v>8</v>
      </c>
    </row>
    <row r="299" spans="1:13" x14ac:dyDescent="0.2">
      <c r="A299" t="s">
        <v>61</v>
      </c>
      <c r="B299">
        <v>2013</v>
      </c>
      <c r="C299" t="s">
        <v>55</v>
      </c>
      <c r="D299" t="s">
        <v>12</v>
      </c>
      <c r="E299" t="s">
        <v>62</v>
      </c>
      <c r="F299">
        <v>36</v>
      </c>
      <c r="G299">
        <v>257</v>
      </c>
      <c r="H299" t="s">
        <v>14</v>
      </c>
      <c r="I299">
        <v>8</v>
      </c>
      <c r="J299" t="b">
        <v>1</v>
      </c>
      <c r="K299" t="str">
        <f t="shared" si="4"/>
        <v>dib032013</v>
      </c>
      <c r="L299">
        <f>VLOOKUP(K299,BheightCalcs!I$1:M$429, 5, FALSE)</f>
        <v>8</v>
      </c>
      <c r="M299">
        <f>VLOOKUP(A299, BheightCalcs!P$1:S$39, 4, FALSE)</f>
        <v>8</v>
      </c>
    </row>
    <row r="300" spans="1:13" x14ac:dyDescent="0.2">
      <c r="A300" t="s">
        <v>61</v>
      </c>
      <c r="B300">
        <v>2013</v>
      </c>
      <c r="C300" t="s">
        <v>55</v>
      </c>
      <c r="D300" t="s">
        <v>15</v>
      </c>
      <c r="E300" t="s">
        <v>63</v>
      </c>
      <c r="F300">
        <v>36</v>
      </c>
      <c r="G300">
        <v>257</v>
      </c>
      <c r="H300" t="s">
        <v>14</v>
      </c>
      <c r="I300">
        <v>8</v>
      </c>
      <c r="J300" t="b">
        <v>1</v>
      </c>
      <c r="K300" t="str">
        <f t="shared" si="4"/>
        <v>dib032013</v>
      </c>
      <c r="L300">
        <f>VLOOKUP(K300,BheightCalcs!I$1:M$429, 5, FALSE)</f>
        <v>8</v>
      </c>
      <c r="M300">
        <f>VLOOKUP(A300, BheightCalcs!P$1:S$39, 4, FALSE)</f>
        <v>8</v>
      </c>
    </row>
    <row r="301" spans="1:13" x14ac:dyDescent="0.2">
      <c r="A301" t="s">
        <v>64</v>
      </c>
      <c r="B301">
        <v>2000</v>
      </c>
      <c r="C301" t="s">
        <v>55</v>
      </c>
      <c r="D301" t="s">
        <v>12</v>
      </c>
      <c r="E301" t="s">
        <v>65</v>
      </c>
      <c r="F301">
        <v>42</v>
      </c>
      <c r="G301">
        <v>301</v>
      </c>
      <c r="H301" t="s">
        <v>14</v>
      </c>
      <c r="I301">
        <v>14</v>
      </c>
      <c r="J301" t="b">
        <v>1</v>
      </c>
      <c r="K301" t="str">
        <f t="shared" si="4"/>
        <v>dib042000</v>
      </c>
      <c r="L301">
        <f>VLOOKUP(K301,BheightCalcs!I$1:M$429, 5, FALSE)</f>
        <v>5.3069999999999986</v>
      </c>
      <c r="M301">
        <f>VLOOKUP(A301, BheightCalcs!P$1:S$39, 4, FALSE)</f>
        <v>13</v>
      </c>
    </row>
    <row r="302" spans="1:13" x14ac:dyDescent="0.2">
      <c r="A302" t="s">
        <v>64</v>
      </c>
      <c r="B302">
        <v>2000</v>
      </c>
      <c r="C302" t="s">
        <v>55</v>
      </c>
      <c r="D302" t="s">
        <v>15</v>
      </c>
      <c r="E302" t="s">
        <v>66</v>
      </c>
      <c r="F302">
        <v>42</v>
      </c>
      <c r="G302">
        <v>301</v>
      </c>
      <c r="H302" t="s">
        <v>14</v>
      </c>
      <c r="I302">
        <v>14</v>
      </c>
      <c r="J302" t="b">
        <v>1</v>
      </c>
      <c r="K302" t="str">
        <f t="shared" si="4"/>
        <v>dib042000</v>
      </c>
      <c r="L302">
        <f>VLOOKUP(K302,BheightCalcs!I$1:M$429, 5, FALSE)</f>
        <v>5.3069999999999986</v>
      </c>
      <c r="M302">
        <f>VLOOKUP(A302, BheightCalcs!P$1:S$39, 4, FALSE)</f>
        <v>13</v>
      </c>
    </row>
    <row r="303" spans="1:13" x14ac:dyDescent="0.2">
      <c r="A303" t="s">
        <v>64</v>
      </c>
      <c r="B303">
        <v>2001</v>
      </c>
      <c r="C303" t="s">
        <v>55</v>
      </c>
      <c r="D303" t="s">
        <v>12</v>
      </c>
      <c r="E303" t="s">
        <v>65</v>
      </c>
      <c r="F303">
        <v>35</v>
      </c>
      <c r="G303">
        <v>263</v>
      </c>
      <c r="H303" t="s">
        <v>14</v>
      </c>
      <c r="I303">
        <v>14</v>
      </c>
      <c r="J303" t="b">
        <v>1</v>
      </c>
      <c r="K303" t="str">
        <f t="shared" si="4"/>
        <v>dib042001</v>
      </c>
      <c r="L303">
        <f>VLOOKUP(K303,BheightCalcs!I$1:M$429, 5, FALSE)</f>
        <v>6.139549999999999</v>
      </c>
      <c r="M303">
        <f>VLOOKUP(A303, BheightCalcs!P$1:S$39, 4, FALSE)</f>
        <v>13</v>
      </c>
    </row>
    <row r="304" spans="1:13" x14ac:dyDescent="0.2">
      <c r="A304" t="s">
        <v>64</v>
      </c>
      <c r="B304">
        <v>2001</v>
      </c>
      <c r="C304" t="s">
        <v>55</v>
      </c>
      <c r="D304" t="s">
        <v>15</v>
      </c>
      <c r="E304" t="s">
        <v>66</v>
      </c>
      <c r="F304">
        <v>35</v>
      </c>
      <c r="G304">
        <v>263</v>
      </c>
      <c r="H304" t="s">
        <v>14</v>
      </c>
      <c r="I304">
        <v>14</v>
      </c>
      <c r="J304" t="b">
        <v>1</v>
      </c>
      <c r="K304" t="str">
        <f t="shared" si="4"/>
        <v>dib042001</v>
      </c>
      <c r="L304">
        <f>VLOOKUP(K304,BheightCalcs!I$1:M$429, 5, FALSE)</f>
        <v>6.139549999999999</v>
      </c>
      <c r="M304">
        <f>VLOOKUP(A304, BheightCalcs!P$1:S$39, 4, FALSE)</f>
        <v>13</v>
      </c>
    </row>
    <row r="305" spans="1:13" x14ac:dyDescent="0.2">
      <c r="A305" t="s">
        <v>64</v>
      </c>
      <c r="B305">
        <v>2002</v>
      </c>
      <c r="C305" t="s">
        <v>55</v>
      </c>
      <c r="D305" t="s">
        <v>15</v>
      </c>
      <c r="E305" t="s">
        <v>66</v>
      </c>
      <c r="F305">
        <v>33</v>
      </c>
      <c r="G305">
        <v>292</v>
      </c>
      <c r="H305" t="s">
        <v>14</v>
      </c>
      <c r="I305">
        <v>14</v>
      </c>
      <c r="J305" t="b">
        <v>1</v>
      </c>
      <c r="K305" t="str">
        <f t="shared" si="4"/>
        <v>dib042002</v>
      </c>
      <c r="L305">
        <f>VLOOKUP(K305,BheightCalcs!I$1:M$429, 5, FALSE)</f>
        <v>6.9366499999999993</v>
      </c>
      <c r="M305">
        <f>VLOOKUP(A305, BheightCalcs!P$1:S$39, 4, FALSE)</f>
        <v>13</v>
      </c>
    </row>
    <row r="306" spans="1:13" x14ac:dyDescent="0.2">
      <c r="A306" t="s">
        <v>64</v>
      </c>
      <c r="B306">
        <v>2002</v>
      </c>
      <c r="C306" t="s">
        <v>55</v>
      </c>
      <c r="D306" t="s">
        <v>12</v>
      </c>
      <c r="E306" t="s">
        <v>65</v>
      </c>
      <c r="F306">
        <v>33</v>
      </c>
      <c r="G306">
        <v>292</v>
      </c>
      <c r="H306" t="s">
        <v>14</v>
      </c>
      <c r="I306">
        <v>14</v>
      </c>
      <c r="J306" t="b">
        <v>1</v>
      </c>
      <c r="K306" t="str">
        <f t="shared" si="4"/>
        <v>dib042002</v>
      </c>
      <c r="L306">
        <f>VLOOKUP(K306,BheightCalcs!I$1:M$429, 5, FALSE)</f>
        <v>6.9366499999999993</v>
      </c>
      <c r="M306">
        <f>VLOOKUP(A306, BheightCalcs!P$1:S$39, 4, FALSE)</f>
        <v>13</v>
      </c>
    </row>
    <row r="307" spans="1:13" x14ac:dyDescent="0.2">
      <c r="A307" t="s">
        <v>64</v>
      </c>
      <c r="B307">
        <v>2003</v>
      </c>
      <c r="C307" t="s">
        <v>55</v>
      </c>
      <c r="D307" t="s">
        <v>12</v>
      </c>
      <c r="E307" t="s">
        <v>65</v>
      </c>
      <c r="F307">
        <v>29</v>
      </c>
      <c r="G307">
        <v>254</v>
      </c>
      <c r="H307" t="s">
        <v>14</v>
      </c>
      <c r="I307">
        <v>14</v>
      </c>
      <c r="J307" t="b">
        <v>1</v>
      </c>
      <c r="K307" t="str">
        <f t="shared" si="4"/>
        <v>dib042003</v>
      </c>
      <c r="L307">
        <f>VLOOKUP(K307,BheightCalcs!I$1:M$429, 5, FALSE)</f>
        <v>7.569799999999999</v>
      </c>
      <c r="M307">
        <f>VLOOKUP(A307, BheightCalcs!P$1:S$39, 4, FALSE)</f>
        <v>13</v>
      </c>
    </row>
    <row r="308" spans="1:13" x14ac:dyDescent="0.2">
      <c r="A308" t="s">
        <v>64</v>
      </c>
      <c r="B308">
        <v>2003</v>
      </c>
      <c r="C308" t="s">
        <v>55</v>
      </c>
      <c r="D308" t="s">
        <v>15</v>
      </c>
      <c r="E308" t="s">
        <v>66</v>
      </c>
      <c r="F308">
        <v>29</v>
      </c>
      <c r="G308">
        <v>254</v>
      </c>
      <c r="H308" t="s">
        <v>14</v>
      </c>
      <c r="I308">
        <v>14</v>
      </c>
      <c r="J308" t="b">
        <v>1</v>
      </c>
      <c r="K308" t="str">
        <f t="shared" si="4"/>
        <v>dib042003</v>
      </c>
      <c r="L308">
        <f>VLOOKUP(K308,BheightCalcs!I$1:M$429, 5, FALSE)</f>
        <v>7.569799999999999</v>
      </c>
      <c r="M308">
        <f>VLOOKUP(A308, BheightCalcs!P$1:S$39, 4, FALSE)</f>
        <v>13</v>
      </c>
    </row>
    <row r="309" spans="1:13" x14ac:dyDescent="0.2">
      <c r="A309" t="s">
        <v>64</v>
      </c>
      <c r="B309">
        <v>2004</v>
      </c>
      <c r="C309" t="s">
        <v>55</v>
      </c>
      <c r="D309" t="s">
        <v>15</v>
      </c>
      <c r="E309" t="s">
        <v>66</v>
      </c>
      <c r="F309">
        <v>40</v>
      </c>
      <c r="G309">
        <v>278</v>
      </c>
      <c r="H309" t="s">
        <v>14</v>
      </c>
      <c r="I309">
        <v>14</v>
      </c>
      <c r="J309" t="b">
        <v>1</v>
      </c>
      <c r="K309" t="str">
        <f t="shared" si="4"/>
        <v>dib042004</v>
      </c>
      <c r="L309">
        <f>VLOOKUP(K309,BheightCalcs!I$1:M$429, 5, FALSE)</f>
        <v>8.2307499999999987</v>
      </c>
      <c r="M309">
        <f>VLOOKUP(A309, BheightCalcs!P$1:S$39, 4, FALSE)</f>
        <v>13</v>
      </c>
    </row>
    <row r="310" spans="1:13" x14ac:dyDescent="0.2">
      <c r="A310" t="s">
        <v>64</v>
      </c>
      <c r="B310">
        <v>2004</v>
      </c>
      <c r="C310" t="s">
        <v>55</v>
      </c>
      <c r="D310" t="s">
        <v>12</v>
      </c>
      <c r="E310" t="s">
        <v>65</v>
      </c>
      <c r="F310">
        <v>40</v>
      </c>
      <c r="G310">
        <v>278</v>
      </c>
      <c r="H310" t="s">
        <v>14</v>
      </c>
      <c r="I310">
        <v>14</v>
      </c>
      <c r="J310" t="b">
        <v>1</v>
      </c>
      <c r="K310" t="str">
        <f t="shared" si="4"/>
        <v>dib042004</v>
      </c>
      <c r="L310">
        <f>VLOOKUP(K310,BheightCalcs!I$1:M$429, 5, FALSE)</f>
        <v>8.2307499999999987</v>
      </c>
      <c r="M310">
        <f>VLOOKUP(A310, BheightCalcs!P$1:S$39, 4, FALSE)</f>
        <v>13</v>
      </c>
    </row>
    <row r="311" spans="1:13" x14ac:dyDescent="0.2">
      <c r="A311" t="s">
        <v>64</v>
      </c>
      <c r="B311">
        <v>2005</v>
      </c>
      <c r="C311" t="s">
        <v>55</v>
      </c>
      <c r="D311" t="s">
        <v>12</v>
      </c>
      <c r="E311" t="s">
        <v>65</v>
      </c>
      <c r="F311">
        <v>40</v>
      </c>
      <c r="G311">
        <v>316</v>
      </c>
      <c r="H311" t="s">
        <v>14</v>
      </c>
      <c r="I311">
        <v>14</v>
      </c>
      <c r="J311" t="b">
        <v>1</v>
      </c>
      <c r="K311" t="str">
        <f t="shared" si="4"/>
        <v>dib042005</v>
      </c>
      <c r="L311">
        <f>VLOOKUP(K311,BheightCalcs!I$1:M$429, 5, FALSE)</f>
        <v>8.8185499999999983</v>
      </c>
      <c r="M311">
        <f>VLOOKUP(A311, BheightCalcs!P$1:S$39, 4, FALSE)</f>
        <v>13</v>
      </c>
    </row>
    <row r="312" spans="1:13" x14ac:dyDescent="0.2">
      <c r="A312" t="s">
        <v>64</v>
      </c>
      <c r="B312">
        <v>2005</v>
      </c>
      <c r="C312" t="s">
        <v>55</v>
      </c>
      <c r="D312" t="s">
        <v>15</v>
      </c>
      <c r="E312" t="s">
        <v>66</v>
      </c>
      <c r="F312">
        <v>40</v>
      </c>
      <c r="G312">
        <v>316</v>
      </c>
      <c r="H312" t="s">
        <v>14</v>
      </c>
      <c r="I312">
        <v>14</v>
      </c>
      <c r="J312" t="b">
        <v>1</v>
      </c>
      <c r="K312" t="str">
        <f t="shared" si="4"/>
        <v>dib042005</v>
      </c>
      <c r="L312">
        <f>VLOOKUP(K312,BheightCalcs!I$1:M$429, 5, FALSE)</f>
        <v>8.8185499999999983</v>
      </c>
      <c r="M312">
        <f>VLOOKUP(A312, BheightCalcs!P$1:S$39, 4, FALSE)</f>
        <v>13</v>
      </c>
    </row>
    <row r="313" spans="1:13" x14ac:dyDescent="0.2">
      <c r="A313" t="s">
        <v>64</v>
      </c>
      <c r="B313">
        <v>2006</v>
      </c>
      <c r="C313" t="s">
        <v>55</v>
      </c>
      <c r="D313" t="s">
        <v>12</v>
      </c>
      <c r="E313" t="s">
        <v>65</v>
      </c>
      <c r="F313">
        <v>25</v>
      </c>
      <c r="G313">
        <v>294</v>
      </c>
      <c r="H313" t="s">
        <v>14</v>
      </c>
      <c r="I313">
        <v>14</v>
      </c>
      <c r="J313" t="b">
        <v>1</v>
      </c>
      <c r="K313" t="str">
        <f t="shared" si="4"/>
        <v>dib042006</v>
      </c>
      <c r="L313">
        <f>VLOOKUP(K313,BheightCalcs!I$1:M$429, 5, FALSE)</f>
        <v>9.3280999999999992</v>
      </c>
      <c r="M313">
        <f>VLOOKUP(A313, BheightCalcs!P$1:S$39, 4, FALSE)</f>
        <v>13</v>
      </c>
    </row>
    <row r="314" spans="1:13" x14ac:dyDescent="0.2">
      <c r="A314" t="s">
        <v>64</v>
      </c>
      <c r="B314">
        <v>2006</v>
      </c>
      <c r="C314" t="s">
        <v>55</v>
      </c>
      <c r="D314" t="s">
        <v>15</v>
      </c>
      <c r="E314" t="s">
        <v>66</v>
      </c>
      <c r="F314">
        <v>25</v>
      </c>
      <c r="G314">
        <v>294</v>
      </c>
      <c r="H314" t="s">
        <v>14</v>
      </c>
      <c r="I314">
        <v>14</v>
      </c>
      <c r="J314" t="b">
        <v>1</v>
      </c>
      <c r="K314" t="str">
        <f t="shared" si="4"/>
        <v>dib042006</v>
      </c>
      <c r="L314">
        <f>VLOOKUP(K314,BheightCalcs!I$1:M$429, 5, FALSE)</f>
        <v>9.3280999999999992</v>
      </c>
      <c r="M314">
        <f>VLOOKUP(A314, BheightCalcs!P$1:S$39, 4, FALSE)</f>
        <v>13</v>
      </c>
    </row>
    <row r="315" spans="1:13" x14ac:dyDescent="0.2">
      <c r="A315" t="s">
        <v>64</v>
      </c>
      <c r="B315">
        <v>2007</v>
      </c>
      <c r="C315" t="s">
        <v>55</v>
      </c>
      <c r="D315" t="s">
        <v>12</v>
      </c>
      <c r="E315" t="s">
        <v>65</v>
      </c>
      <c r="F315">
        <v>66</v>
      </c>
      <c r="G315">
        <v>286</v>
      </c>
      <c r="H315" t="s">
        <v>14</v>
      </c>
      <c r="I315">
        <v>14</v>
      </c>
      <c r="J315" t="b">
        <v>1</v>
      </c>
      <c r="K315" t="str">
        <f t="shared" si="4"/>
        <v>dib042007</v>
      </c>
      <c r="L315">
        <f>VLOOKUP(K315,BheightCalcs!I$1:M$429, 5, FALSE)</f>
        <v>9.8956999999999997</v>
      </c>
      <c r="M315">
        <f>VLOOKUP(A315, BheightCalcs!P$1:S$39, 4, FALSE)</f>
        <v>13</v>
      </c>
    </row>
    <row r="316" spans="1:13" x14ac:dyDescent="0.2">
      <c r="A316" t="s">
        <v>64</v>
      </c>
      <c r="B316">
        <v>2007</v>
      </c>
      <c r="C316" t="s">
        <v>55</v>
      </c>
      <c r="D316" t="s">
        <v>15</v>
      </c>
      <c r="E316" t="s">
        <v>66</v>
      </c>
      <c r="F316">
        <v>66</v>
      </c>
      <c r="G316">
        <v>286</v>
      </c>
      <c r="H316" t="s">
        <v>14</v>
      </c>
      <c r="I316">
        <v>14</v>
      </c>
      <c r="J316" t="b">
        <v>1</v>
      </c>
      <c r="K316" t="str">
        <f t="shared" si="4"/>
        <v>dib042007</v>
      </c>
      <c r="L316">
        <f>VLOOKUP(K316,BheightCalcs!I$1:M$429, 5, FALSE)</f>
        <v>9.8956999999999997</v>
      </c>
      <c r="M316">
        <f>VLOOKUP(A316, BheightCalcs!P$1:S$39, 4, FALSE)</f>
        <v>13</v>
      </c>
    </row>
    <row r="317" spans="1:13" x14ac:dyDescent="0.2">
      <c r="A317" t="s">
        <v>64</v>
      </c>
      <c r="B317">
        <v>2008</v>
      </c>
      <c r="C317" t="s">
        <v>55</v>
      </c>
      <c r="D317" t="s">
        <v>12</v>
      </c>
      <c r="E317" t="s">
        <v>65</v>
      </c>
      <c r="F317">
        <v>53</v>
      </c>
      <c r="G317">
        <v>301</v>
      </c>
      <c r="H317" t="s">
        <v>14</v>
      </c>
      <c r="I317">
        <v>14</v>
      </c>
      <c r="J317" t="b">
        <v>1</v>
      </c>
      <c r="K317" t="str">
        <f t="shared" si="4"/>
        <v>dib042008</v>
      </c>
      <c r="L317">
        <f>VLOOKUP(K317,BheightCalcs!I$1:M$429, 5, FALSE)</f>
        <v>10.511200000000001</v>
      </c>
      <c r="M317">
        <f>VLOOKUP(A317, BheightCalcs!P$1:S$39, 4, FALSE)</f>
        <v>13</v>
      </c>
    </row>
    <row r="318" spans="1:13" x14ac:dyDescent="0.2">
      <c r="A318" t="s">
        <v>64</v>
      </c>
      <c r="B318">
        <v>2008</v>
      </c>
      <c r="C318" t="s">
        <v>55</v>
      </c>
      <c r="D318" t="s">
        <v>15</v>
      </c>
      <c r="E318" t="s">
        <v>66</v>
      </c>
      <c r="F318">
        <v>53</v>
      </c>
      <c r="G318">
        <v>301</v>
      </c>
      <c r="H318" t="s">
        <v>14</v>
      </c>
      <c r="I318">
        <v>14</v>
      </c>
      <c r="J318" t="b">
        <v>1</v>
      </c>
      <c r="K318" t="str">
        <f t="shared" si="4"/>
        <v>dib042008</v>
      </c>
      <c r="L318">
        <f>VLOOKUP(K318,BheightCalcs!I$1:M$429, 5, FALSE)</f>
        <v>10.511200000000001</v>
      </c>
      <c r="M318">
        <f>VLOOKUP(A318, BheightCalcs!P$1:S$39, 4, FALSE)</f>
        <v>13</v>
      </c>
    </row>
    <row r="319" spans="1:13" x14ac:dyDescent="0.2">
      <c r="A319" t="s">
        <v>64</v>
      </c>
      <c r="B319">
        <v>2009</v>
      </c>
      <c r="C319" t="s">
        <v>55</v>
      </c>
      <c r="D319" t="s">
        <v>15</v>
      </c>
      <c r="E319" t="s">
        <v>66</v>
      </c>
      <c r="F319">
        <v>43</v>
      </c>
      <c r="G319">
        <v>288</v>
      </c>
      <c r="H319" t="s">
        <v>14</v>
      </c>
      <c r="I319">
        <v>14</v>
      </c>
      <c r="J319" t="b">
        <v>1</v>
      </c>
      <c r="K319" t="str">
        <f t="shared" si="4"/>
        <v>dib042009</v>
      </c>
      <c r="L319">
        <f>VLOOKUP(K319,BheightCalcs!I$1:M$429, 5, FALSE)</f>
        <v>11.177150000000001</v>
      </c>
      <c r="M319">
        <f>VLOOKUP(A319, BheightCalcs!P$1:S$39, 4, FALSE)</f>
        <v>13</v>
      </c>
    </row>
    <row r="320" spans="1:13" x14ac:dyDescent="0.2">
      <c r="A320" t="s">
        <v>64</v>
      </c>
      <c r="B320">
        <v>2009</v>
      </c>
      <c r="C320" t="s">
        <v>55</v>
      </c>
      <c r="D320" t="s">
        <v>12</v>
      </c>
      <c r="E320" t="s">
        <v>65</v>
      </c>
      <c r="F320">
        <v>43</v>
      </c>
      <c r="G320">
        <v>288</v>
      </c>
      <c r="H320" t="s">
        <v>14</v>
      </c>
      <c r="I320">
        <v>14</v>
      </c>
      <c r="J320" t="b">
        <v>1</v>
      </c>
      <c r="K320" t="str">
        <f t="shared" si="4"/>
        <v>dib042009</v>
      </c>
      <c r="L320">
        <f>VLOOKUP(K320,BheightCalcs!I$1:M$429, 5, FALSE)</f>
        <v>11.177150000000001</v>
      </c>
      <c r="M320">
        <f>VLOOKUP(A320, BheightCalcs!P$1:S$39, 4, FALSE)</f>
        <v>13</v>
      </c>
    </row>
    <row r="321" spans="1:13" x14ac:dyDescent="0.2">
      <c r="A321" t="s">
        <v>64</v>
      </c>
      <c r="B321">
        <v>2010</v>
      </c>
      <c r="C321" t="s">
        <v>55</v>
      </c>
      <c r="D321" t="s">
        <v>15</v>
      </c>
      <c r="E321" t="s">
        <v>66</v>
      </c>
      <c r="F321">
        <v>40</v>
      </c>
      <c r="G321">
        <v>282</v>
      </c>
      <c r="H321" t="s">
        <v>14</v>
      </c>
      <c r="I321">
        <v>14</v>
      </c>
      <c r="J321" t="b">
        <v>1</v>
      </c>
      <c r="K321" t="str">
        <f t="shared" si="4"/>
        <v>dib042010</v>
      </c>
      <c r="L321">
        <f>VLOOKUP(K321,BheightCalcs!I$1:M$429, 5, FALSE)</f>
        <v>12.161000000000001</v>
      </c>
      <c r="M321">
        <f>VLOOKUP(A321, BheightCalcs!P$1:S$39, 4, FALSE)</f>
        <v>13</v>
      </c>
    </row>
    <row r="322" spans="1:13" x14ac:dyDescent="0.2">
      <c r="A322" t="s">
        <v>64</v>
      </c>
      <c r="B322">
        <v>2010</v>
      </c>
      <c r="C322" t="s">
        <v>55</v>
      </c>
      <c r="D322" t="s">
        <v>12</v>
      </c>
      <c r="E322" t="s">
        <v>65</v>
      </c>
      <c r="F322">
        <v>40</v>
      </c>
      <c r="G322">
        <v>282</v>
      </c>
      <c r="H322" t="s">
        <v>14</v>
      </c>
      <c r="I322">
        <v>14</v>
      </c>
      <c r="J322" t="b">
        <v>1</v>
      </c>
      <c r="K322" t="str">
        <f t="shared" si="4"/>
        <v>dib042010</v>
      </c>
      <c r="L322">
        <f>VLOOKUP(K322,BheightCalcs!I$1:M$429, 5, FALSE)</f>
        <v>12.161000000000001</v>
      </c>
      <c r="M322">
        <f>VLOOKUP(A322, BheightCalcs!P$1:S$39, 4, FALSE)</f>
        <v>13</v>
      </c>
    </row>
    <row r="323" spans="1:13" x14ac:dyDescent="0.2">
      <c r="A323" t="s">
        <v>64</v>
      </c>
      <c r="B323">
        <v>2011</v>
      </c>
      <c r="C323" t="s">
        <v>55</v>
      </c>
      <c r="D323" t="s">
        <v>12</v>
      </c>
      <c r="E323" t="s">
        <v>65</v>
      </c>
      <c r="F323">
        <v>66</v>
      </c>
      <c r="G323">
        <v>269</v>
      </c>
      <c r="H323" t="s">
        <v>14</v>
      </c>
      <c r="I323">
        <v>14</v>
      </c>
      <c r="J323" t="b">
        <v>1</v>
      </c>
      <c r="K323" t="str">
        <f t="shared" ref="K323:K386" si="5">CONCATENATE(A323, B323)</f>
        <v>dib042011</v>
      </c>
      <c r="L323">
        <f>VLOOKUP(K323,BheightCalcs!I$1:M$429, 5, FALSE)</f>
        <v>12.71095</v>
      </c>
      <c r="M323">
        <f>VLOOKUP(A323, BheightCalcs!P$1:S$39, 4, FALSE)</f>
        <v>13</v>
      </c>
    </row>
    <row r="324" spans="1:13" x14ac:dyDescent="0.2">
      <c r="A324" t="s">
        <v>64</v>
      </c>
      <c r="B324">
        <v>2011</v>
      </c>
      <c r="C324" t="s">
        <v>55</v>
      </c>
      <c r="D324" t="s">
        <v>15</v>
      </c>
      <c r="E324" t="s">
        <v>66</v>
      </c>
      <c r="F324">
        <v>66</v>
      </c>
      <c r="G324">
        <v>269</v>
      </c>
      <c r="H324" t="s">
        <v>14</v>
      </c>
      <c r="I324">
        <v>14</v>
      </c>
      <c r="J324" t="b">
        <v>1</v>
      </c>
      <c r="K324" t="str">
        <f t="shared" si="5"/>
        <v>dib042011</v>
      </c>
      <c r="L324">
        <f>VLOOKUP(K324,BheightCalcs!I$1:M$429, 5, FALSE)</f>
        <v>12.71095</v>
      </c>
      <c r="M324">
        <f>VLOOKUP(A324, BheightCalcs!P$1:S$39, 4, FALSE)</f>
        <v>13</v>
      </c>
    </row>
    <row r="325" spans="1:13" x14ac:dyDescent="0.2">
      <c r="A325" t="s">
        <v>64</v>
      </c>
      <c r="B325">
        <v>2012</v>
      </c>
      <c r="C325" t="s">
        <v>55</v>
      </c>
      <c r="D325" t="s">
        <v>15</v>
      </c>
      <c r="E325" t="s">
        <v>66</v>
      </c>
      <c r="F325">
        <v>80</v>
      </c>
      <c r="G325">
        <v>305</v>
      </c>
      <c r="H325" t="s">
        <v>14</v>
      </c>
      <c r="I325">
        <v>14</v>
      </c>
      <c r="J325" t="b">
        <v>1</v>
      </c>
      <c r="K325" t="str">
        <f t="shared" si="5"/>
        <v>dib042012</v>
      </c>
      <c r="L325">
        <f>VLOOKUP(K325,BheightCalcs!I$1:M$429, 5, FALSE)</f>
        <v>13.26595</v>
      </c>
      <c r="M325">
        <f>VLOOKUP(A325, BheightCalcs!P$1:S$39, 4, FALSE)</f>
        <v>13</v>
      </c>
    </row>
    <row r="326" spans="1:13" x14ac:dyDescent="0.2">
      <c r="A326" t="s">
        <v>64</v>
      </c>
      <c r="B326">
        <v>2012</v>
      </c>
      <c r="C326" t="s">
        <v>55</v>
      </c>
      <c r="D326" t="s">
        <v>12</v>
      </c>
      <c r="E326" t="s">
        <v>65</v>
      </c>
      <c r="F326">
        <v>80</v>
      </c>
      <c r="G326">
        <v>305</v>
      </c>
      <c r="H326" t="s">
        <v>14</v>
      </c>
      <c r="I326">
        <v>14</v>
      </c>
      <c r="J326" t="b">
        <v>1</v>
      </c>
      <c r="K326" t="str">
        <f t="shared" si="5"/>
        <v>dib042012</v>
      </c>
      <c r="L326">
        <f>VLOOKUP(K326,BheightCalcs!I$1:M$429, 5, FALSE)</f>
        <v>13.26595</v>
      </c>
      <c r="M326">
        <f>VLOOKUP(A326, BheightCalcs!P$1:S$39, 4, FALSE)</f>
        <v>13</v>
      </c>
    </row>
    <row r="327" spans="1:13" x14ac:dyDescent="0.2">
      <c r="A327" t="s">
        <v>64</v>
      </c>
      <c r="B327">
        <v>2013</v>
      </c>
      <c r="C327" t="s">
        <v>55</v>
      </c>
      <c r="D327" t="s">
        <v>15</v>
      </c>
      <c r="E327" t="s">
        <v>66</v>
      </c>
      <c r="F327">
        <v>36</v>
      </c>
      <c r="G327">
        <v>257</v>
      </c>
      <c r="H327" t="s">
        <v>14</v>
      </c>
      <c r="I327">
        <v>14</v>
      </c>
      <c r="J327" t="b">
        <v>1</v>
      </c>
      <c r="K327" t="str">
        <f t="shared" si="5"/>
        <v>dib042013</v>
      </c>
      <c r="L327">
        <f>VLOOKUP(K327,BheightCalcs!I$1:M$429, 5, FALSE)</f>
        <v>14</v>
      </c>
      <c r="M327">
        <f>VLOOKUP(A327, BheightCalcs!P$1:S$39, 4, FALSE)</f>
        <v>13</v>
      </c>
    </row>
    <row r="328" spans="1:13" x14ac:dyDescent="0.2">
      <c r="A328" t="s">
        <v>64</v>
      </c>
      <c r="B328">
        <v>2013</v>
      </c>
      <c r="C328" t="s">
        <v>55</v>
      </c>
      <c r="D328" t="s">
        <v>12</v>
      </c>
      <c r="E328" t="s">
        <v>65</v>
      </c>
      <c r="F328">
        <v>36</v>
      </c>
      <c r="G328">
        <v>257</v>
      </c>
      <c r="H328" t="s">
        <v>14</v>
      </c>
      <c r="I328">
        <v>14</v>
      </c>
      <c r="J328" t="b">
        <v>1</v>
      </c>
      <c r="K328" t="str">
        <f t="shared" si="5"/>
        <v>dib042013</v>
      </c>
      <c r="L328">
        <f>VLOOKUP(K328,BheightCalcs!I$1:M$429, 5, FALSE)</f>
        <v>14</v>
      </c>
      <c r="M328">
        <f>VLOOKUP(A328, BheightCalcs!P$1:S$39, 4, FALSE)</f>
        <v>13</v>
      </c>
    </row>
    <row r="329" spans="1:13" x14ac:dyDescent="0.2">
      <c r="A329" t="s">
        <v>67</v>
      </c>
      <c r="B329">
        <v>2004</v>
      </c>
      <c r="C329" t="s">
        <v>55</v>
      </c>
      <c r="D329" t="s">
        <v>12</v>
      </c>
      <c r="E329" t="s">
        <v>69</v>
      </c>
      <c r="F329">
        <v>40</v>
      </c>
      <c r="G329">
        <v>278</v>
      </c>
      <c r="H329" t="s">
        <v>14</v>
      </c>
      <c r="I329">
        <v>8.5</v>
      </c>
      <c r="J329" t="b">
        <v>1</v>
      </c>
      <c r="K329" t="str">
        <f t="shared" si="5"/>
        <v>dib062004</v>
      </c>
      <c r="L329">
        <f>VLOOKUP(K329,BheightCalcs!I$1:M$429, 5, FALSE)</f>
        <v>2.2490000000000001</v>
      </c>
      <c r="M329">
        <f>VLOOKUP(A329, BheightCalcs!P$1:S$39, 4, FALSE)</f>
        <v>9</v>
      </c>
    </row>
    <row r="330" spans="1:13" x14ac:dyDescent="0.2">
      <c r="A330" t="s">
        <v>67</v>
      </c>
      <c r="B330">
        <v>2004</v>
      </c>
      <c r="C330" t="s">
        <v>55</v>
      </c>
      <c r="D330" t="s">
        <v>15</v>
      </c>
      <c r="E330" t="s">
        <v>68</v>
      </c>
      <c r="F330">
        <v>40</v>
      </c>
      <c r="G330">
        <v>278</v>
      </c>
      <c r="H330" t="s">
        <v>14</v>
      </c>
      <c r="I330">
        <v>8.5</v>
      </c>
      <c r="J330" t="b">
        <v>1</v>
      </c>
      <c r="K330" t="str">
        <f t="shared" si="5"/>
        <v>dib062004</v>
      </c>
      <c r="L330">
        <f>VLOOKUP(K330,BheightCalcs!I$1:M$429, 5, FALSE)</f>
        <v>2.2490000000000001</v>
      </c>
      <c r="M330">
        <f>VLOOKUP(A330, BheightCalcs!P$1:S$39, 4, FALSE)</f>
        <v>9</v>
      </c>
    </row>
    <row r="331" spans="1:13" x14ac:dyDescent="0.2">
      <c r="A331" t="s">
        <v>67</v>
      </c>
      <c r="B331">
        <v>2005</v>
      </c>
      <c r="C331" t="s">
        <v>55</v>
      </c>
      <c r="D331" t="s">
        <v>15</v>
      </c>
      <c r="E331" t="s">
        <v>68</v>
      </c>
      <c r="F331">
        <v>40</v>
      </c>
      <c r="G331">
        <v>316</v>
      </c>
      <c r="H331" t="s">
        <v>14</v>
      </c>
      <c r="I331">
        <v>8.5</v>
      </c>
      <c r="J331" t="b">
        <v>1</v>
      </c>
      <c r="K331" t="str">
        <f t="shared" si="5"/>
        <v>dib062005</v>
      </c>
      <c r="L331">
        <f>VLOOKUP(K331,BheightCalcs!I$1:M$429, 5, FALSE)</f>
        <v>2.7383500000000001</v>
      </c>
      <c r="M331">
        <f>VLOOKUP(A331, BheightCalcs!P$1:S$39, 4, FALSE)</f>
        <v>9</v>
      </c>
    </row>
    <row r="332" spans="1:13" x14ac:dyDescent="0.2">
      <c r="A332" t="s">
        <v>67</v>
      </c>
      <c r="B332">
        <v>2005</v>
      </c>
      <c r="C332" t="s">
        <v>55</v>
      </c>
      <c r="D332" t="s">
        <v>12</v>
      </c>
      <c r="E332" t="s">
        <v>69</v>
      </c>
      <c r="F332">
        <v>40</v>
      </c>
      <c r="G332">
        <v>316</v>
      </c>
      <c r="H332" t="s">
        <v>14</v>
      </c>
      <c r="I332">
        <v>8.5</v>
      </c>
      <c r="J332" t="b">
        <v>1</v>
      </c>
      <c r="K332" t="str">
        <f t="shared" si="5"/>
        <v>dib062005</v>
      </c>
      <c r="L332">
        <f>VLOOKUP(K332,BheightCalcs!I$1:M$429, 5, FALSE)</f>
        <v>2.7383500000000001</v>
      </c>
      <c r="M332">
        <f>VLOOKUP(A332, BheightCalcs!P$1:S$39, 4, FALSE)</f>
        <v>9</v>
      </c>
    </row>
    <row r="333" spans="1:13" x14ac:dyDescent="0.2">
      <c r="A333" t="s">
        <v>67</v>
      </c>
      <c r="B333">
        <v>2006</v>
      </c>
      <c r="C333" t="s">
        <v>55</v>
      </c>
      <c r="D333" t="s">
        <v>12</v>
      </c>
      <c r="E333" t="s">
        <v>69</v>
      </c>
      <c r="F333">
        <v>25</v>
      </c>
      <c r="G333">
        <v>294</v>
      </c>
      <c r="H333" t="s">
        <v>14</v>
      </c>
      <c r="I333">
        <v>8.5</v>
      </c>
      <c r="J333" t="b">
        <v>1</v>
      </c>
      <c r="K333" t="str">
        <f t="shared" si="5"/>
        <v>dib062006</v>
      </c>
      <c r="L333">
        <f>VLOOKUP(K333,BheightCalcs!I$1:M$429, 5, FALSE)</f>
        <v>3.4850500000000002</v>
      </c>
      <c r="M333">
        <f>VLOOKUP(A333, BheightCalcs!P$1:S$39, 4, FALSE)</f>
        <v>9</v>
      </c>
    </row>
    <row r="334" spans="1:13" x14ac:dyDescent="0.2">
      <c r="A334" t="s">
        <v>67</v>
      </c>
      <c r="B334">
        <v>2006</v>
      </c>
      <c r="C334" t="s">
        <v>55</v>
      </c>
      <c r="D334" t="s">
        <v>15</v>
      </c>
      <c r="E334" t="s">
        <v>68</v>
      </c>
      <c r="F334">
        <v>25</v>
      </c>
      <c r="G334">
        <v>294</v>
      </c>
      <c r="H334" t="s">
        <v>14</v>
      </c>
      <c r="I334">
        <v>8.5</v>
      </c>
      <c r="J334" t="b">
        <v>1</v>
      </c>
      <c r="K334" t="str">
        <f t="shared" si="5"/>
        <v>dib062006</v>
      </c>
      <c r="L334">
        <f>VLOOKUP(K334,BheightCalcs!I$1:M$429, 5, FALSE)</f>
        <v>3.4850500000000002</v>
      </c>
      <c r="M334">
        <f>VLOOKUP(A334, BheightCalcs!P$1:S$39, 4, FALSE)</f>
        <v>9</v>
      </c>
    </row>
    <row r="335" spans="1:13" x14ac:dyDescent="0.2">
      <c r="A335" t="s">
        <v>67</v>
      </c>
      <c r="B335">
        <v>2007</v>
      </c>
      <c r="C335" t="s">
        <v>55</v>
      </c>
      <c r="D335" t="s">
        <v>15</v>
      </c>
      <c r="E335" t="s">
        <v>68</v>
      </c>
      <c r="F335">
        <v>66</v>
      </c>
      <c r="G335">
        <v>286</v>
      </c>
      <c r="H335" t="s">
        <v>14</v>
      </c>
      <c r="I335">
        <v>8.5</v>
      </c>
      <c r="J335" t="b">
        <v>1</v>
      </c>
      <c r="K335" t="str">
        <f t="shared" si="5"/>
        <v>dib062007</v>
      </c>
      <c r="L335">
        <f>VLOOKUP(K335,BheightCalcs!I$1:M$429, 5, FALSE)</f>
        <v>4.0678000000000001</v>
      </c>
      <c r="M335">
        <f>VLOOKUP(A335, BheightCalcs!P$1:S$39, 4, FALSE)</f>
        <v>9</v>
      </c>
    </row>
    <row r="336" spans="1:13" x14ac:dyDescent="0.2">
      <c r="A336" t="s">
        <v>67</v>
      </c>
      <c r="B336">
        <v>2007</v>
      </c>
      <c r="C336" t="s">
        <v>55</v>
      </c>
      <c r="D336" t="s">
        <v>12</v>
      </c>
      <c r="E336" t="s">
        <v>69</v>
      </c>
      <c r="F336">
        <v>66</v>
      </c>
      <c r="G336">
        <v>286</v>
      </c>
      <c r="H336" t="s">
        <v>14</v>
      </c>
      <c r="I336">
        <v>8.5</v>
      </c>
      <c r="J336" t="b">
        <v>1</v>
      </c>
      <c r="K336" t="str">
        <f t="shared" si="5"/>
        <v>dib062007</v>
      </c>
      <c r="L336">
        <f>VLOOKUP(K336,BheightCalcs!I$1:M$429, 5, FALSE)</f>
        <v>4.0678000000000001</v>
      </c>
      <c r="M336">
        <f>VLOOKUP(A336, BheightCalcs!P$1:S$39, 4, FALSE)</f>
        <v>9</v>
      </c>
    </row>
    <row r="337" spans="1:13" x14ac:dyDescent="0.2">
      <c r="A337" t="s">
        <v>67</v>
      </c>
      <c r="B337">
        <v>2008</v>
      </c>
      <c r="C337" t="s">
        <v>55</v>
      </c>
      <c r="D337" t="s">
        <v>15</v>
      </c>
      <c r="E337" t="s">
        <v>68</v>
      </c>
      <c r="F337">
        <v>53</v>
      </c>
      <c r="G337">
        <v>301</v>
      </c>
      <c r="H337" t="s">
        <v>14</v>
      </c>
      <c r="I337">
        <v>8.5</v>
      </c>
      <c r="J337" t="b">
        <v>1</v>
      </c>
      <c r="K337" t="str">
        <f t="shared" si="5"/>
        <v>dib062008</v>
      </c>
      <c r="L337">
        <f>VLOOKUP(K337,BheightCalcs!I$1:M$429, 5, FALSE)</f>
        <v>4.5142500000000005</v>
      </c>
      <c r="M337">
        <f>VLOOKUP(A337, BheightCalcs!P$1:S$39, 4, FALSE)</f>
        <v>9</v>
      </c>
    </row>
    <row r="338" spans="1:13" x14ac:dyDescent="0.2">
      <c r="A338" t="s">
        <v>67</v>
      </c>
      <c r="B338">
        <v>2008</v>
      </c>
      <c r="C338" t="s">
        <v>55</v>
      </c>
      <c r="D338" t="s">
        <v>12</v>
      </c>
      <c r="E338" t="s">
        <v>69</v>
      </c>
      <c r="F338">
        <v>53</v>
      </c>
      <c r="G338">
        <v>301</v>
      </c>
      <c r="H338" t="s">
        <v>14</v>
      </c>
      <c r="I338">
        <v>8.5</v>
      </c>
      <c r="J338" t="b">
        <v>1</v>
      </c>
      <c r="K338" t="str">
        <f t="shared" si="5"/>
        <v>dib062008</v>
      </c>
      <c r="L338">
        <f>VLOOKUP(K338,BheightCalcs!I$1:M$429, 5, FALSE)</f>
        <v>4.5142500000000005</v>
      </c>
      <c r="M338">
        <f>VLOOKUP(A338, BheightCalcs!P$1:S$39, 4, FALSE)</f>
        <v>9</v>
      </c>
    </row>
    <row r="339" spans="1:13" x14ac:dyDescent="0.2">
      <c r="A339" t="s">
        <v>67</v>
      </c>
      <c r="B339">
        <v>2009</v>
      </c>
      <c r="C339" t="s">
        <v>55</v>
      </c>
      <c r="D339" t="s">
        <v>15</v>
      </c>
      <c r="E339" t="s">
        <v>68</v>
      </c>
      <c r="F339">
        <v>43</v>
      </c>
      <c r="G339">
        <v>288</v>
      </c>
      <c r="H339" t="s">
        <v>14</v>
      </c>
      <c r="I339">
        <v>8.5</v>
      </c>
      <c r="J339" t="b">
        <v>1</v>
      </c>
      <c r="K339" t="str">
        <f t="shared" si="5"/>
        <v>dib062009</v>
      </c>
      <c r="L339">
        <f>VLOOKUP(K339,BheightCalcs!I$1:M$429, 5, FALSE)</f>
        <v>5.0440500000000004</v>
      </c>
      <c r="M339">
        <f>VLOOKUP(A339, BheightCalcs!P$1:S$39, 4, FALSE)</f>
        <v>9</v>
      </c>
    </row>
    <row r="340" spans="1:13" x14ac:dyDescent="0.2">
      <c r="A340" t="s">
        <v>67</v>
      </c>
      <c r="B340">
        <v>2009</v>
      </c>
      <c r="C340" t="s">
        <v>55</v>
      </c>
      <c r="D340" t="s">
        <v>12</v>
      </c>
      <c r="E340" t="s">
        <v>69</v>
      </c>
      <c r="F340">
        <v>43</v>
      </c>
      <c r="G340">
        <v>288</v>
      </c>
      <c r="H340" t="s">
        <v>14</v>
      </c>
      <c r="I340">
        <v>8.5</v>
      </c>
      <c r="J340" t="b">
        <v>1</v>
      </c>
      <c r="K340" t="str">
        <f t="shared" si="5"/>
        <v>dib062009</v>
      </c>
      <c r="L340">
        <f>VLOOKUP(K340,BheightCalcs!I$1:M$429, 5, FALSE)</f>
        <v>5.0440500000000004</v>
      </c>
      <c r="M340">
        <f>VLOOKUP(A340, BheightCalcs!P$1:S$39, 4, FALSE)</f>
        <v>9</v>
      </c>
    </row>
    <row r="341" spans="1:13" x14ac:dyDescent="0.2">
      <c r="A341" t="s">
        <v>67</v>
      </c>
      <c r="B341">
        <v>2010</v>
      </c>
      <c r="C341" t="s">
        <v>55</v>
      </c>
      <c r="D341" t="s">
        <v>15</v>
      </c>
      <c r="E341" t="s">
        <v>68</v>
      </c>
      <c r="F341">
        <v>40</v>
      </c>
      <c r="G341">
        <v>282</v>
      </c>
      <c r="H341" t="s">
        <v>14</v>
      </c>
      <c r="I341">
        <v>8.5</v>
      </c>
      <c r="J341" t="b">
        <v>1</v>
      </c>
      <c r="K341" t="str">
        <f t="shared" si="5"/>
        <v>dib062010</v>
      </c>
      <c r="L341">
        <f>VLOOKUP(K341,BheightCalcs!I$1:M$429, 5, FALSE)</f>
        <v>5.7932500000000005</v>
      </c>
      <c r="M341">
        <f>VLOOKUP(A341, BheightCalcs!P$1:S$39, 4, FALSE)</f>
        <v>9</v>
      </c>
    </row>
    <row r="342" spans="1:13" x14ac:dyDescent="0.2">
      <c r="A342" t="s">
        <v>67</v>
      </c>
      <c r="B342">
        <v>2010</v>
      </c>
      <c r="C342" t="s">
        <v>55</v>
      </c>
      <c r="D342" t="s">
        <v>12</v>
      </c>
      <c r="E342" t="s">
        <v>69</v>
      </c>
      <c r="F342">
        <v>40</v>
      </c>
      <c r="G342">
        <v>282</v>
      </c>
      <c r="H342" t="s">
        <v>14</v>
      </c>
      <c r="I342">
        <v>8.5</v>
      </c>
      <c r="J342" t="b">
        <v>1</v>
      </c>
      <c r="K342" t="str">
        <f t="shared" si="5"/>
        <v>dib062010</v>
      </c>
      <c r="L342">
        <f>VLOOKUP(K342,BheightCalcs!I$1:M$429, 5, FALSE)</f>
        <v>5.7932500000000005</v>
      </c>
      <c r="M342">
        <f>VLOOKUP(A342, BheightCalcs!P$1:S$39, 4, FALSE)</f>
        <v>9</v>
      </c>
    </row>
    <row r="343" spans="1:13" x14ac:dyDescent="0.2">
      <c r="A343" t="s">
        <v>67</v>
      </c>
      <c r="B343">
        <v>2011</v>
      </c>
      <c r="C343" t="s">
        <v>55</v>
      </c>
      <c r="D343" t="s">
        <v>15</v>
      </c>
      <c r="E343" t="s">
        <v>68</v>
      </c>
      <c r="F343">
        <v>66</v>
      </c>
      <c r="G343">
        <v>269</v>
      </c>
      <c r="H343" t="s">
        <v>14</v>
      </c>
      <c r="I343">
        <v>8.5</v>
      </c>
      <c r="J343" t="b">
        <v>1</v>
      </c>
      <c r="K343" t="str">
        <f t="shared" si="5"/>
        <v>dib062011</v>
      </c>
      <c r="L343">
        <f>VLOOKUP(K343,BheightCalcs!I$1:M$429, 5, FALSE)</f>
        <v>6.7468000000000004</v>
      </c>
      <c r="M343">
        <f>VLOOKUP(A343, BheightCalcs!P$1:S$39, 4, FALSE)</f>
        <v>9</v>
      </c>
    </row>
    <row r="344" spans="1:13" x14ac:dyDescent="0.2">
      <c r="A344" t="s">
        <v>67</v>
      </c>
      <c r="B344">
        <v>2011</v>
      </c>
      <c r="C344" t="s">
        <v>55</v>
      </c>
      <c r="D344" t="s">
        <v>12</v>
      </c>
      <c r="E344" t="s">
        <v>69</v>
      </c>
      <c r="F344">
        <v>66</v>
      </c>
      <c r="G344">
        <v>269</v>
      </c>
      <c r="H344" t="s">
        <v>14</v>
      </c>
      <c r="I344">
        <v>8.5</v>
      </c>
      <c r="J344" t="b">
        <v>1</v>
      </c>
      <c r="K344" t="str">
        <f t="shared" si="5"/>
        <v>dib062011</v>
      </c>
      <c r="L344">
        <f>VLOOKUP(K344,BheightCalcs!I$1:M$429, 5, FALSE)</f>
        <v>6.7468000000000004</v>
      </c>
      <c r="M344">
        <f>VLOOKUP(A344, BheightCalcs!P$1:S$39, 4, FALSE)</f>
        <v>9</v>
      </c>
    </row>
    <row r="345" spans="1:13" x14ac:dyDescent="0.2">
      <c r="A345" t="s">
        <v>67</v>
      </c>
      <c r="B345">
        <v>2012</v>
      </c>
      <c r="C345" t="s">
        <v>55</v>
      </c>
      <c r="D345" t="s">
        <v>15</v>
      </c>
      <c r="E345" t="s">
        <v>68</v>
      </c>
      <c r="F345">
        <v>80</v>
      </c>
      <c r="G345">
        <v>305</v>
      </c>
      <c r="H345" t="s">
        <v>14</v>
      </c>
      <c r="I345">
        <v>8.5</v>
      </c>
      <c r="J345" t="b">
        <v>1</v>
      </c>
      <c r="K345" t="str">
        <f t="shared" si="5"/>
        <v>dib062012</v>
      </c>
      <c r="L345">
        <f>VLOOKUP(K345,BheightCalcs!I$1:M$429, 5, FALSE)</f>
        <v>7.5514999999999999</v>
      </c>
      <c r="M345">
        <f>VLOOKUP(A345, BheightCalcs!P$1:S$39, 4, FALSE)</f>
        <v>9</v>
      </c>
    </row>
    <row r="346" spans="1:13" x14ac:dyDescent="0.2">
      <c r="A346" t="s">
        <v>67</v>
      </c>
      <c r="B346">
        <v>2012</v>
      </c>
      <c r="C346" t="s">
        <v>55</v>
      </c>
      <c r="D346" t="s">
        <v>12</v>
      </c>
      <c r="E346" t="s">
        <v>69</v>
      </c>
      <c r="F346">
        <v>80</v>
      </c>
      <c r="G346">
        <v>305</v>
      </c>
      <c r="H346" t="s">
        <v>14</v>
      </c>
      <c r="I346">
        <v>8.5</v>
      </c>
      <c r="J346" t="b">
        <v>1</v>
      </c>
      <c r="K346" t="str">
        <f t="shared" si="5"/>
        <v>dib062012</v>
      </c>
      <c r="L346">
        <f>VLOOKUP(K346,BheightCalcs!I$1:M$429, 5, FALSE)</f>
        <v>7.5514999999999999</v>
      </c>
      <c r="M346">
        <f>VLOOKUP(A346, BheightCalcs!P$1:S$39, 4, FALSE)</f>
        <v>9</v>
      </c>
    </row>
    <row r="347" spans="1:13" x14ac:dyDescent="0.2">
      <c r="A347" t="s">
        <v>67</v>
      </c>
      <c r="B347">
        <v>2013</v>
      </c>
      <c r="C347" t="s">
        <v>55</v>
      </c>
      <c r="D347" t="s">
        <v>12</v>
      </c>
      <c r="E347" t="s">
        <v>69</v>
      </c>
      <c r="F347">
        <v>36</v>
      </c>
      <c r="G347">
        <v>257</v>
      </c>
      <c r="H347" t="s">
        <v>14</v>
      </c>
      <c r="I347">
        <v>8.5</v>
      </c>
      <c r="J347" t="b">
        <v>1</v>
      </c>
      <c r="K347" t="str">
        <f t="shared" si="5"/>
        <v>dib062013</v>
      </c>
      <c r="L347">
        <f>VLOOKUP(K347,BheightCalcs!I$1:M$429, 5, FALSE)</f>
        <v>8.5</v>
      </c>
      <c r="M347">
        <f>VLOOKUP(A347, BheightCalcs!P$1:S$39, 4, FALSE)</f>
        <v>9</v>
      </c>
    </row>
    <row r="348" spans="1:13" x14ac:dyDescent="0.2">
      <c r="A348" t="s">
        <v>67</v>
      </c>
      <c r="B348">
        <v>2013</v>
      </c>
      <c r="C348" t="s">
        <v>55</v>
      </c>
      <c r="D348" t="s">
        <v>15</v>
      </c>
      <c r="E348" t="s">
        <v>68</v>
      </c>
      <c r="F348">
        <v>36</v>
      </c>
      <c r="G348">
        <v>257</v>
      </c>
      <c r="H348" t="s">
        <v>14</v>
      </c>
      <c r="I348">
        <v>8.5</v>
      </c>
      <c r="J348" t="b">
        <v>1</v>
      </c>
      <c r="K348" t="str">
        <f t="shared" si="5"/>
        <v>dib062013</v>
      </c>
      <c r="L348">
        <f>VLOOKUP(K348,BheightCalcs!I$1:M$429, 5, FALSE)</f>
        <v>8.5</v>
      </c>
      <c r="M348">
        <f>VLOOKUP(A348, BheightCalcs!P$1:S$39, 4, FALSE)</f>
        <v>9</v>
      </c>
    </row>
    <row r="349" spans="1:13" x14ac:dyDescent="0.2">
      <c r="A349" t="s">
        <v>70</v>
      </c>
      <c r="B349">
        <v>2004</v>
      </c>
      <c r="C349" t="s">
        <v>55</v>
      </c>
      <c r="D349" t="s">
        <v>15</v>
      </c>
      <c r="E349" t="s">
        <v>72</v>
      </c>
      <c r="F349">
        <v>40</v>
      </c>
      <c r="G349">
        <v>278</v>
      </c>
      <c r="H349" t="s">
        <v>14</v>
      </c>
      <c r="I349">
        <v>7</v>
      </c>
      <c r="J349" t="b">
        <v>1</v>
      </c>
      <c r="K349" t="str">
        <f t="shared" si="5"/>
        <v>dib082004</v>
      </c>
      <c r="L349">
        <f>VLOOKUP(K349,BheightCalcs!I$1:M$429, 5, FALSE)</f>
        <v>1.2509500000000005</v>
      </c>
      <c r="M349">
        <f>VLOOKUP(A349, BheightCalcs!P$1:S$39, 4, FALSE)</f>
        <v>9</v>
      </c>
    </row>
    <row r="350" spans="1:13" x14ac:dyDescent="0.2">
      <c r="A350" t="s">
        <v>70</v>
      </c>
      <c r="B350">
        <v>2005</v>
      </c>
      <c r="C350" t="s">
        <v>55</v>
      </c>
      <c r="D350" t="s">
        <v>15</v>
      </c>
      <c r="E350" t="s">
        <v>72</v>
      </c>
      <c r="F350">
        <v>40</v>
      </c>
      <c r="G350">
        <v>316</v>
      </c>
      <c r="H350" t="s">
        <v>14</v>
      </c>
      <c r="I350">
        <v>7</v>
      </c>
      <c r="J350" t="b">
        <v>1</v>
      </c>
      <c r="K350" t="str">
        <f t="shared" si="5"/>
        <v>dib082005</v>
      </c>
      <c r="L350">
        <f>VLOOKUP(K350,BheightCalcs!I$1:M$429, 5, FALSE)</f>
        <v>1.8462500000000004</v>
      </c>
      <c r="M350">
        <f>VLOOKUP(A350, BheightCalcs!P$1:S$39, 4, FALSE)</f>
        <v>9</v>
      </c>
    </row>
    <row r="351" spans="1:13" x14ac:dyDescent="0.2">
      <c r="A351" t="s">
        <v>70</v>
      </c>
      <c r="B351">
        <v>2006</v>
      </c>
      <c r="C351" t="s">
        <v>55</v>
      </c>
      <c r="D351" t="s">
        <v>12</v>
      </c>
      <c r="E351" t="s">
        <v>71</v>
      </c>
      <c r="F351">
        <v>25</v>
      </c>
      <c r="G351">
        <v>294</v>
      </c>
      <c r="H351" t="s">
        <v>14</v>
      </c>
      <c r="I351">
        <v>7</v>
      </c>
      <c r="J351" t="b">
        <v>1</v>
      </c>
      <c r="K351" t="str">
        <f t="shared" si="5"/>
        <v>dib082006</v>
      </c>
      <c r="L351">
        <f>VLOOKUP(K351,BheightCalcs!I$1:M$429, 5, FALSE)</f>
        <v>2.4643500000000005</v>
      </c>
      <c r="M351">
        <f>VLOOKUP(A351, BheightCalcs!P$1:S$39, 4, FALSE)</f>
        <v>9</v>
      </c>
    </row>
    <row r="352" spans="1:13" x14ac:dyDescent="0.2">
      <c r="A352" t="s">
        <v>70</v>
      </c>
      <c r="B352">
        <v>2006</v>
      </c>
      <c r="C352" t="s">
        <v>55</v>
      </c>
      <c r="D352" t="s">
        <v>15</v>
      </c>
      <c r="E352" t="s">
        <v>72</v>
      </c>
      <c r="F352">
        <v>25</v>
      </c>
      <c r="G352">
        <v>294</v>
      </c>
      <c r="H352" t="s">
        <v>14</v>
      </c>
      <c r="I352">
        <v>7</v>
      </c>
      <c r="J352" t="b">
        <v>1</v>
      </c>
      <c r="K352" t="str">
        <f t="shared" si="5"/>
        <v>dib082006</v>
      </c>
      <c r="L352">
        <f>VLOOKUP(K352,BheightCalcs!I$1:M$429, 5, FALSE)</f>
        <v>2.4643500000000005</v>
      </c>
      <c r="M352">
        <f>VLOOKUP(A352, BheightCalcs!P$1:S$39, 4, FALSE)</f>
        <v>9</v>
      </c>
    </row>
    <row r="353" spans="1:13" x14ac:dyDescent="0.2">
      <c r="A353" t="s">
        <v>70</v>
      </c>
      <c r="B353">
        <v>2007</v>
      </c>
      <c r="C353" t="s">
        <v>55</v>
      </c>
      <c r="D353" t="s">
        <v>15</v>
      </c>
      <c r="E353" t="s">
        <v>72</v>
      </c>
      <c r="F353">
        <v>66</v>
      </c>
      <c r="G353">
        <v>286</v>
      </c>
      <c r="H353" t="s">
        <v>14</v>
      </c>
      <c r="I353">
        <v>7</v>
      </c>
      <c r="J353" t="b">
        <v>1</v>
      </c>
      <c r="K353" t="str">
        <f t="shared" si="5"/>
        <v>dib082007</v>
      </c>
      <c r="L353">
        <f>VLOOKUP(K353,BheightCalcs!I$1:M$429, 5, FALSE)</f>
        <v>3.1277500000000007</v>
      </c>
      <c r="M353">
        <f>VLOOKUP(A353, BheightCalcs!P$1:S$39, 4, FALSE)</f>
        <v>9</v>
      </c>
    </row>
    <row r="354" spans="1:13" x14ac:dyDescent="0.2">
      <c r="A354" t="s">
        <v>70</v>
      </c>
      <c r="B354">
        <v>2007</v>
      </c>
      <c r="C354" t="s">
        <v>55</v>
      </c>
      <c r="D354" t="s">
        <v>12</v>
      </c>
      <c r="E354" t="s">
        <v>71</v>
      </c>
      <c r="F354">
        <v>66</v>
      </c>
      <c r="G354">
        <v>286</v>
      </c>
      <c r="H354" t="s">
        <v>14</v>
      </c>
      <c r="I354">
        <v>7</v>
      </c>
      <c r="J354" t="b">
        <v>1</v>
      </c>
      <c r="K354" t="str">
        <f t="shared" si="5"/>
        <v>dib082007</v>
      </c>
      <c r="L354">
        <f>VLOOKUP(K354,BheightCalcs!I$1:M$429, 5, FALSE)</f>
        <v>3.1277500000000007</v>
      </c>
      <c r="M354">
        <f>VLOOKUP(A354, BheightCalcs!P$1:S$39, 4, FALSE)</f>
        <v>9</v>
      </c>
    </row>
    <row r="355" spans="1:13" x14ac:dyDescent="0.2">
      <c r="A355" t="s">
        <v>70</v>
      </c>
      <c r="B355">
        <v>2008</v>
      </c>
      <c r="C355" t="s">
        <v>55</v>
      </c>
      <c r="D355" t="s">
        <v>12</v>
      </c>
      <c r="E355" t="s">
        <v>71</v>
      </c>
      <c r="F355">
        <v>53</v>
      </c>
      <c r="G355">
        <v>301</v>
      </c>
      <c r="H355" t="s">
        <v>14</v>
      </c>
      <c r="I355">
        <v>7</v>
      </c>
      <c r="J355" t="b">
        <v>1</v>
      </c>
      <c r="K355" t="str">
        <f t="shared" si="5"/>
        <v>dib082008</v>
      </c>
      <c r="L355">
        <f>VLOOKUP(K355,BheightCalcs!I$1:M$429, 5, FALSE)</f>
        <v>3.7306500000000007</v>
      </c>
      <c r="M355">
        <f>VLOOKUP(A355, BheightCalcs!P$1:S$39, 4, FALSE)</f>
        <v>9</v>
      </c>
    </row>
    <row r="356" spans="1:13" x14ac:dyDescent="0.2">
      <c r="A356" t="s">
        <v>70</v>
      </c>
      <c r="B356">
        <v>2008</v>
      </c>
      <c r="C356" t="s">
        <v>55</v>
      </c>
      <c r="D356" t="s">
        <v>15</v>
      </c>
      <c r="E356" t="s">
        <v>72</v>
      </c>
      <c r="F356">
        <v>53</v>
      </c>
      <c r="G356">
        <v>301</v>
      </c>
      <c r="H356" t="s">
        <v>14</v>
      </c>
      <c r="I356">
        <v>7</v>
      </c>
      <c r="J356" t="b">
        <v>1</v>
      </c>
      <c r="K356" t="str">
        <f t="shared" si="5"/>
        <v>dib082008</v>
      </c>
      <c r="L356">
        <f>VLOOKUP(K356,BheightCalcs!I$1:M$429, 5, FALSE)</f>
        <v>3.7306500000000007</v>
      </c>
      <c r="M356">
        <f>VLOOKUP(A356, BheightCalcs!P$1:S$39, 4, FALSE)</f>
        <v>9</v>
      </c>
    </row>
    <row r="357" spans="1:13" x14ac:dyDescent="0.2">
      <c r="A357" t="s">
        <v>70</v>
      </c>
      <c r="B357">
        <v>2009</v>
      </c>
      <c r="C357" t="s">
        <v>55</v>
      </c>
      <c r="D357" t="s">
        <v>12</v>
      </c>
      <c r="E357" t="s">
        <v>71</v>
      </c>
      <c r="F357">
        <v>43</v>
      </c>
      <c r="G357">
        <v>288</v>
      </c>
      <c r="H357" t="s">
        <v>14</v>
      </c>
      <c r="I357">
        <v>7</v>
      </c>
      <c r="J357" t="b">
        <v>1</v>
      </c>
      <c r="K357" t="str">
        <f t="shared" si="5"/>
        <v>dib082009</v>
      </c>
      <c r="L357">
        <f>VLOOKUP(K357,BheightCalcs!I$1:M$429, 5, FALSE)</f>
        <v>4.3411500000000007</v>
      </c>
      <c r="M357">
        <f>VLOOKUP(A357, BheightCalcs!P$1:S$39, 4, FALSE)</f>
        <v>9</v>
      </c>
    </row>
    <row r="358" spans="1:13" x14ac:dyDescent="0.2">
      <c r="A358" t="s">
        <v>70</v>
      </c>
      <c r="B358">
        <v>2009</v>
      </c>
      <c r="C358" t="s">
        <v>55</v>
      </c>
      <c r="D358" t="s">
        <v>15</v>
      </c>
      <c r="E358" t="s">
        <v>72</v>
      </c>
      <c r="F358">
        <v>43</v>
      </c>
      <c r="G358">
        <v>288</v>
      </c>
      <c r="H358" t="s">
        <v>14</v>
      </c>
      <c r="I358">
        <v>7</v>
      </c>
      <c r="J358" t="b">
        <v>1</v>
      </c>
      <c r="K358" t="str">
        <f t="shared" si="5"/>
        <v>dib082009</v>
      </c>
      <c r="L358">
        <f>VLOOKUP(K358,BheightCalcs!I$1:M$429, 5, FALSE)</f>
        <v>4.3411500000000007</v>
      </c>
      <c r="M358">
        <f>VLOOKUP(A358, BheightCalcs!P$1:S$39, 4, FALSE)</f>
        <v>9</v>
      </c>
    </row>
    <row r="359" spans="1:13" x14ac:dyDescent="0.2">
      <c r="A359" t="s">
        <v>70</v>
      </c>
      <c r="B359">
        <v>2010</v>
      </c>
      <c r="C359" t="s">
        <v>55</v>
      </c>
      <c r="D359" t="s">
        <v>15</v>
      </c>
      <c r="E359" t="s">
        <v>72</v>
      </c>
      <c r="F359">
        <v>40</v>
      </c>
      <c r="G359">
        <v>282</v>
      </c>
      <c r="H359" t="s">
        <v>14</v>
      </c>
      <c r="I359">
        <v>7</v>
      </c>
      <c r="J359" t="b">
        <v>1</v>
      </c>
      <c r="K359" t="str">
        <f t="shared" si="5"/>
        <v>dib082010</v>
      </c>
      <c r="L359">
        <f>VLOOKUP(K359,BheightCalcs!I$1:M$429, 5, FALSE)</f>
        <v>5.1660500000000003</v>
      </c>
      <c r="M359">
        <f>VLOOKUP(A359, BheightCalcs!P$1:S$39, 4, FALSE)</f>
        <v>9</v>
      </c>
    </row>
    <row r="360" spans="1:13" x14ac:dyDescent="0.2">
      <c r="A360" t="s">
        <v>70</v>
      </c>
      <c r="B360">
        <v>2010</v>
      </c>
      <c r="C360" t="s">
        <v>55</v>
      </c>
      <c r="D360" t="s">
        <v>12</v>
      </c>
      <c r="E360" t="s">
        <v>71</v>
      </c>
      <c r="F360">
        <v>40</v>
      </c>
      <c r="G360">
        <v>282</v>
      </c>
      <c r="H360" t="s">
        <v>14</v>
      </c>
      <c r="I360">
        <v>7</v>
      </c>
      <c r="J360" t="b">
        <v>1</v>
      </c>
      <c r="K360" t="str">
        <f t="shared" si="5"/>
        <v>dib082010</v>
      </c>
      <c r="L360">
        <f>VLOOKUP(K360,BheightCalcs!I$1:M$429, 5, FALSE)</f>
        <v>5.1660500000000003</v>
      </c>
      <c r="M360">
        <f>VLOOKUP(A360, BheightCalcs!P$1:S$39, 4, FALSE)</f>
        <v>9</v>
      </c>
    </row>
    <row r="361" spans="1:13" x14ac:dyDescent="0.2">
      <c r="A361" t="s">
        <v>70</v>
      </c>
      <c r="B361">
        <v>2011</v>
      </c>
      <c r="C361" t="s">
        <v>55</v>
      </c>
      <c r="D361" t="s">
        <v>15</v>
      </c>
      <c r="E361" t="s">
        <v>72</v>
      </c>
      <c r="F361">
        <v>66</v>
      </c>
      <c r="G361">
        <v>269</v>
      </c>
      <c r="H361" t="s">
        <v>14</v>
      </c>
      <c r="I361">
        <v>7</v>
      </c>
      <c r="J361" t="b">
        <v>1</v>
      </c>
      <c r="K361" t="str">
        <f t="shared" si="5"/>
        <v>dib082011</v>
      </c>
      <c r="L361">
        <f>VLOOKUP(K361,BheightCalcs!I$1:M$429, 5, FALSE)</f>
        <v>5.8673500000000001</v>
      </c>
      <c r="M361">
        <f>VLOOKUP(A361, BheightCalcs!P$1:S$39, 4, FALSE)</f>
        <v>9</v>
      </c>
    </row>
    <row r="362" spans="1:13" x14ac:dyDescent="0.2">
      <c r="A362" t="s">
        <v>70</v>
      </c>
      <c r="B362">
        <v>2011</v>
      </c>
      <c r="C362" t="s">
        <v>55</v>
      </c>
      <c r="D362" t="s">
        <v>12</v>
      </c>
      <c r="E362" t="s">
        <v>71</v>
      </c>
      <c r="F362">
        <v>66</v>
      </c>
      <c r="G362">
        <v>269</v>
      </c>
      <c r="H362" t="s">
        <v>14</v>
      </c>
      <c r="I362">
        <v>7</v>
      </c>
      <c r="J362" t="b">
        <v>1</v>
      </c>
      <c r="K362" t="str">
        <f t="shared" si="5"/>
        <v>dib082011</v>
      </c>
      <c r="L362">
        <f>VLOOKUP(K362,BheightCalcs!I$1:M$429, 5, FALSE)</f>
        <v>5.8673500000000001</v>
      </c>
      <c r="M362">
        <f>VLOOKUP(A362, BheightCalcs!P$1:S$39, 4, FALSE)</f>
        <v>9</v>
      </c>
    </row>
    <row r="363" spans="1:13" x14ac:dyDescent="0.2">
      <c r="A363" t="s">
        <v>70</v>
      </c>
      <c r="B363">
        <v>2012</v>
      </c>
      <c r="C363" t="s">
        <v>55</v>
      </c>
      <c r="D363" t="s">
        <v>12</v>
      </c>
      <c r="E363" t="s">
        <v>71</v>
      </c>
      <c r="F363">
        <v>80</v>
      </c>
      <c r="G363">
        <v>305</v>
      </c>
      <c r="H363" t="s">
        <v>14</v>
      </c>
      <c r="I363">
        <v>7</v>
      </c>
      <c r="J363" t="b">
        <v>1</v>
      </c>
      <c r="K363" t="str">
        <f t="shared" si="5"/>
        <v>dib082012</v>
      </c>
      <c r="L363">
        <f>VLOOKUP(K363,BheightCalcs!I$1:M$429, 5, FALSE)</f>
        <v>6.5585500000000003</v>
      </c>
      <c r="M363">
        <f>VLOOKUP(A363, BheightCalcs!P$1:S$39, 4, FALSE)</f>
        <v>9</v>
      </c>
    </row>
    <row r="364" spans="1:13" x14ac:dyDescent="0.2">
      <c r="A364" t="s">
        <v>70</v>
      </c>
      <c r="B364">
        <v>2012</v>
      </c>
      <c r="C364" t="s">
        <v>55</v>
      </c>
      <c r="D364" t="s">
        <v>15</v>
      </c>
      <c r="E364" t="s">
        <v>72</v>
      </c>
      <c r="F364">
        <v>80</v>
      </c>
      <c r="G364">
        <v>305</v>
      </c>
      <c r="H364" t="s">
        <v>14</v>
      </c>
      <c r="I364">
        <v>7</v>
      </c>
      <c r="J364" t="b">
        <v>1</v>
      </c>
      <c r="K364" t="str">
        <f t="shared" si="5"/>
        <v>dib082012</v>
      </c>
      <c r="L364">
        <f>VLOOKUP(K364,BheightCalcs!I$1:M$429, 5, FALSE)</f>
        <v>6.5585500000000003</v>
      </c>
      <c r="M364">
        <f>VLOOKUP(A364, BheightCalcs!P$1:S$39, 4, FALSE)</f>
        <v>9</v>
      </c>
    </row>
    <row r="365" spans="1:13" x14ac:dyDescent="0.2">
      <c r="A365" t="s">
        <v>70</v>
      </c>
      <c r="B365">
        <v>2013</v>
      </c>
      <c r="C365" t="s">
        <v>55</v>
      </c>
      <c r="D365" t="s">
        <v>12</v>
      </c>
      <c r="E365" t="s">
        <v>71</v>
      </c>
      <c r="F365">
        <v>36</v>
      </c>
      <c r="G365">
        <v>257</v>
      </c>
      <c r="H365" t="s">
        <v>14</v>
      </c>
      <c r="I365">
        <v>7</v>
      </c>
      <c r="J365" t="b">
        <v>1</v>
      </c>
      <c r="K365" t="str">
        <f t="shared" si="5"/>
        <v>dib082013</v>
      </c>
      <c r="L365">
        <f>VLOOKUP(K365,BheightCalcs!I$1:M$429, 5, FALSE)</f>
        <v>7</v>
      </c>
      <c r="M365">
        <f>VLOOKUP(A365, BheightCalcs!P$1:S$39, 4, FALSE)</f>
        <v>9</v>
      </c>
    </row>
    <row r="366" spans="1:13" x14ac:dyDescent="0.2">
      <c r="A366" t="s">
        <v>70</v>
      </c>
      <c r="B366">
        <v>2013</v>
      </c>
      <c r="C366" t="s">
        <v>55</v>
      </c>
      <c r="D366" t="s">
        <v>15</v>
      </c>
      <c r="E366" t="s">
        <v>72</v>
      </c>
      <c r="F366">
        <v>36</v>
      </c>
      <c r="G366">
        <v>257</v>
      </c>
      <c r="H366" t="s">
        <v>14</v>
      </c>
      <c r="I366">
        <v>7</v>
      </c>
      <c r="J366" t="b">
        <v>1</v>
      </c>
      <c r="K366" t="str">
        <f t="shared" si="5"/>
        <v>dib082013</v>
      </c>
      <c r="L366">
        <f>VLOOKUP(K366,BheightCalcs!I$1:M$429, 5, FALSE)</f>
        <v>7</v>
      </c>
      <c r="M366">
        <f>VLOOKUP(A366, BheightCalcs!P$1:S$39, 4, FALSE)</f>
        <v>9</v>
      </c>
    </row>
    <row r="367" spans="1:13" x14ac:dyDescent="0.2">
      <c r="A367" t="s">
        <v>73</v>
      </c>
      <c r="B367">
        <v>2008</v>
      </c>
      <c r="C367" t="s">
        <v>55</v>
      </c>
      <c r="D367" t="s">
        <v>12</v>
      </c>
      <c r="E367" t="s">
        <v>74</v>
      </c>
      <c r="F367">
        <v>53</v>
      </c>
      <c r="G367">
        <v>301</v>
      </c>
      <c r="H367" t="s">
        <v>14</v>
      </c>
      <c r="I367">
        <v>6</v>
      </c>
      <c r="J367" t="b">
        <v>1</v>
      </c>
      <c r="K367" t="str">
        <f t="shared" si="5"/>
        <v>dib152008</v>
      </c>
      <c r="L367">
        <f>VLOOKUP(K367,BheightCalcs!I$1:M$429, 5, FALSE)</f>
        <v>3.1747000000000001</v>
      </c>
      <c r="M367">
        <f>VLOOKUP(A367, BheightCalcs!P$1:S$39, 4, FALSE)</f>
        <v>5</v>
      </c>
    </row>
    <row r="368" spans="1:13" x14ac:dyDescent="0.2">
      <c r="A368" t="s">
        <v>73</v>
      </c>
      <c r="B368">
        <v>2008</v>
      </c>
      <c r="C368" t="s">
        <v>55</v>
      </c>
      <c r="D368" t="s">
        <v>15</v>
      </c>
      <c r="E368" t="s">
        <v>75</v>
      </c>
      <c r="F368">
        <v>53</v>
      </c>
      <c r="G368">
        <v>301</v>
      </c>
      <c r="H368" t="s">
        <v>14</v>
      </c>
      <c r="I368">
        <v>6</v>
      </c>
      <c r="J368" t="b">
        <v>1</v>
      </c>
      <c r="K368" t="str">
        <f t="shared" si="5"/>
        <v>dib152008</v>
      </c>
      <c r="L368">
        <f>VLOOKUP(K368,BheightCalcs!I$1:M$429, 5, FALSE)</f>
        <v>3.1747000000000001</v>
      </c>
      <c r="M368">
        <f>VLOOKUP(A368, BheightCalcs!P$1:S$39, 4, FALSE)</f>
        <v>5</v>
      </c>
    </row>
    <row r="369" spans="1:13" x14ac:dyDescent="0.2">
      <c r="A369" t="s">
        <v>73</v>
      </c>
      <c r="B369">
        <v>2009</v>
      </c>
      <c r="C369" t="s">
        <v>55</v>
      </c>
      <c r="D369" t="s">
        <v>15</v>
      </c>
      <c r="E369" t="s">
        <v>75</v>
      </c>
      <c r="F369">
        <v>43</v>
      </c>
      <c r="G369">
        <v>288</v>
      </c>
      <c r="H369" t="s">
        <v>14</v>
      </c>
      <c r="I369">
        <v>6</v>
      </c>
      <c r="J369" t="b">
        <v>1</v>
      </c>
      <c r="K369" t="str">
        <f t="shared" si="5"/>
        <v>dib152009</v>
      </c>
      <c r="L369">
        <f>VLOOKUP(K369,BheightCalcs!I$1:M$429, 5, FALSE)</f>
        <v>3.7877000000000001</v>
      </c>
      <c r="M369">
        <f>VLOOKUP(A369, BheightCalcs!P$1:S$39, 4, FALSE)</f>
        <v>5</v>
      </c>
    </row>
    <row r="370" spans="1:13" x14ac:dyDescent="0.2">
      <c r="A370" t="s">
        <v>73</v>
      </c>
      <c r="B370">
        <v>2009</v>
      </c>
      <c r="C370" t="s">
        <v>55</v>
      </c>
      <c r="D370" t="s">
        <v>12</v>
      </c>
      <c r="E370" t="s">
        <v>74</v>
      </c>
      <c r="F370">
        <v>43</v>
      </c>
      <c r="G370">
        <v>288</v>
      </c>
      <c r="H370" t="s">
        <v>14</v>
      </c>
      <c r="I370">
        <v>6</v>
      </c>
      <c r="J370" t="b">
        <v>1</v>
      </c>
      <c r="K370" t="str">
        <f t="shared" si="5"/>
        <v>dib152009</v>
      </c>
      <c r="L370">
        <f>VLOOKUP(K370,BheightCalcs!I$1:M$429, 5, FALSE)</f>
        <v>3.7877000000000001</v>
      </c>
      <c r="M370">
        <f>VLOOKUP(A370, BheightCalcs!P$1:S$39, 4, FALSE)</f>
        <v>5</v>
      </c>
    </row>
    <row r="371" spans="1:13" x14ac:dyDescent="0.2">
      <c r="A371" t="s">
        <v>73</v>
      </c>
      <c r="B371">
        <v>2010</v>
      </c>
      <c r="C371" t="s">
        <v>55</v>
      </c>
      <c r="D371" t="s">
        <v>12</v>
      </c>
      <c r="E371" t="s">
        <v>74</v>
      </c>
      <c r="F371">
        <v>40</v>
      </c>
      <c r="G371">
        <v>282</v>
      </c>
      <c r="H371" t="s">
        <v>14</v>
      </c>
      <c r="I371">
        <v>6</v>
      </c>
      <c r="J371" t="b">
        <v>1</v>
      </c>
      <c r="K371" t="str">
        <f t="shared" si="5"/>
        <v>dib152010</v>
      </c>
      <c r="L371">
        <f>VLOOKUP(K371,BheightCalcs!I$1:M$429, 5, FALSE)</f>
        <v>4.4637500000000001</v>
      </c>
      <c r="M371">
        <f>VLOOKUP(A371, BheightCalcs!P$1:S$39, 4, FALSE)</f>
        <v>5</v>
      </c>
    </row>
    <row r="372" spans="1:13" x14ac:dyDescent="0.2">
      <c r="A372" t="s">
        <v>73</v>
      </c>
      <c r="B372">
        <v>2010</v>
      </c>
      <c r="C372" t="s">
        <v>55</v>
      </c>
      <c r="D372" t="s">
        <v>15</v>
      </c>
      <c r="E372" t="s">
        <v>75</v>
      </c>
      <c r="F372">
        <v>40</v>
      </c>
      <c r="G372">
        <v>282</v>
      </c>
      <c r="H372" t="s">
        <v>14</v>
      </c>
      <c r="I372">
        <v>6</v>
      </c>
      <c r="J372" t="b">
        <v>1</v>
      </c>
      <c r="K372" t="str">
        <f t="shared" si="5"/>
        <v>dib152010</v>
      </c>
      <c r="L372">
        <f>VLOOKUP(K372,BheightCalcs!I$1:M$429, 5, FALSE)</f>
        <v>4.4637500000000001</v>
      </c>
      <c r="M372">
        <f>VLOOKUP(A372, BheightCalcs!P$1:S$39, 4, FALSE)</f>
        <v>5</v>
      </c>
    </row>
    <row r="373" spans="1:13" x14ac:dyDescent="0.2">
      <c r="A373" t="s">
        <v>73</v>
      </c>
      <c r="B373">
        <v>2011</v>
      </c>
      <c r="C373" t="s">
        <v>55</v>
      </c>
      <c r="D373" t="s">
        <v>12</v>
      </c>
      <c r="E373" t="s">
        <v>74</v>
      </c>
      <c r="F373">
        <v>66</v>
      </c>
      <c r="G373">
        <v>269</v>
      </c>
      <c r="H373" t="s">
        <v>14</v>
      </c>
      <c r="I373">
        <v>6</v>
      </c>
      <c r="J373" t="b">
        <v>1</v>
      </c>
      <c r="K373" t="str">
        <f t="shared" si="5"/>
        <v>dib152011</v>
      </c>
      <c r="L373">
        <f>VLOOKUP(K373,BheightCalcs!I$1:M$429, 5, FALSE)</f>
        <v>4.9581499999999998</v>
      </c>
      <c r="M373">
        <f>VLOOKUP(A373, BheightCalcs!P$1:S$39, 4, FALSE)</f>
        <v>5</v>
      </c>
    </row>
    <row r="374" spans="1:13" x14ac:dyDescent="0.2">
      <c r="A374" t="s">
        <v>73</v>
      </c>
      <c r="B374">
        <v>2011</v>
      </c>
      <c r="C374" t="s">
        <v>55</v>
      </c>
      <c r="D374" t="s">
        <v>15</v>
      </c>
      <c r="E374" t="s">
        <v>75</v>
      </c>
      <c r="F374">
        <v>66</v>
      </c>
      <c r="G374">
        <v>269</v>
      </c>
      <c r="H374" t="s">
        <v>14</v>
      </c>
      <c r="I374">
        <v>6</v>
      </c>
      <c r="J374" t="b">
        <v>1</v>
      </c>
      <c r="K374" t="str">
        <f t="shared" si="5"/>
        <v>dib152011</v>
      </c>
      <c r="L374">
        <f>VLOOKUP(K374,BheightCalcs!I$1:M$429, 5, FALSE)</f>
        <v>4.9581499999999998</v>
      </c>
      <c r="M374">
        <f>VLOOKUP(A374, BheightCalcs!P$1:S$39, 4, FALSE)</f>
        <v>5</v>
      </c>
    </row>
    <row r="375" spans="1:13" x14ac:dyDescent="0.2">
      <c r="A375" t="s">
        <v>73</v>
      </c>
      <c r="B375">
        <v>2012</v>
      </c>
      <c r="C375" t="s">
        <v>55</v>
      </c>
      <c r="D375" t="s">
        <v>12</v>
      </c>
      <c r="E375" t="s">
        <v>74</v>
      </c>
      <c r="F375">
        <v>80</v>
      </c>
      <c r="G375">
        <v>305</v>
      </c>
      <c r="H375" t="s">
        <v>14</v>
      </c>
      <c r="I375">
        <v>6</v>
      </c>
      <c r="J375" t="b">
        <v>1</v>
      </c>
      <c r="K375" t="str">
        <f t="shared" si="5"/>
        <v>dib152012</v>
      </c>
      <c r="L375">
        <f>VLOOKUP(K375,BheightCalcs!I$1:M$429, 5, FALSE)</f>
        <v>5.609</v>
      </c>
      <c r="M375">
        <f>VLOOKUP(A375, BheightCalcs!P$1:S$39, 4, FALSE)</f>
        <v>5</v>
      </c>
    </row>
    <row r="376" spans="1:13" x14ac:dyDescent="0.2">
      <c r="A376" t="s">
        <v>73</v>
      </c>
      <c r="B376">
        <v>2012</v>
      </c>
      <c r="C376" t="s">
        <v>55</v>
      </c>
      <c r="D376" t="s">
        <v>15</v>
      </c>
      <c r="E376" t="s">
        <v>75</v>
      </c>
      <c r="F376">
        <v>80</v>
      </c>
      <c r="G376">
        <v>305</v>
      </c>
      <c r="H376" t="s">
        <v>14</v>
      </c>
      <c r="I376">
        <v>6</v>
      </c>
      <c r="J376" t="b">
        <v>1</v>
      </c>
      <c r="K376" t="str">
        <f t="shared" si="5"/>
        <v>dib152012</v>
      </c>
      <c r="L376">
        <f>VLOOKUP(K376,BheightCalcs!I$1:M$429, 5, FALSE)</f>
        <v>5.609</v>
      </c>
      <c r="M376">
        <f>VLOOKUP(A376, BheightCalcs!P$1:S$39, 4, FALSE)</f>
        <v>5</v>
      </c>
    </row>
    <row r="377" spans="1:13" x14ac:dyDescent="0.2">
      <c r="A377" t="s">
        <v>73</v>
      </c>
      <c r="B377">
        <v>2013</v>
      </c>
      <c r="C377" t="s">
        <v>55</v>
      </c>
      <c r="D377" t="s">
        <v>12</v>
      </c>
      <c r="E377" t="s">
        <v>74</v>
      </c>
      <c r="F377">
        <v>36</v>
      </c>
      <c r="G377">
        <v>257</v>
      </c>
      <c r="H377" t="s">
        <v>14</v>
      </c>
      <c r="I377">
        <v>6</v>
      </c>
      <c r="J377" t="b">
        <v>1</v>
      </c>
      <c r="K377" t="str">
        <f t="shared" si="5"/>
        <v>dib152013</v>
      </c>
      <c r="L377">
        <f>VLOOKUP(K377,BheightCalcs!I$1:M$429, 5, FALSE)</f>
        <v>6</v>
      </c>
      <c r="M377">
        <f>VLOOKUP(A377, BheightCalcs!P$1:S$39, 4, FALSE)</f>
        <v>5</v>
      </c>
    </row>
    <row r="378" spans="1:13" x14ac:dyDescent="0.2">
      <c r="A378" t="s">
        <v>73</v>
      </c>
      <c r="B378">
        <v>2013</v>
      </c>
      <c r="C378" t="s">
        <v>55</v>
      </c>
      <c r="D378" t="s">
        <v>15</v>
      </c>
      <c r="E378" t="s">
        <v>75</v>
      </c>
      <c r="F378">
        <v>36</v>
      </c>
      <c r="G378">
        <v>257</v>
      </c>
      <c r="H378" t="s">
        <v>14</v>
      </c>
      <c r="I378">
        <v>6</v>
      </c>
      <c r="J378" t="b">
        <v>1</v>
      </c>
      <c r="K378" t="str">
        <f t="shared" si="5"/>
        <v>dib152013</v>
      </c>
      <c r="L378">
        <f>VLOOKUP(K378,BheightCalcs!I$1:M$429, 5, FALSE)</f>
        <v>6</v>
      </c>
      <c r="M378">
        <f>VLOOKUP(A378, BheightCalcs!P$1:S$39, 4, FALSE)</f>
        <v>5</v>
      </c>
    </row>
    <row r="379" spans="1:13" x14ac:dyDescent="0.2">
      <c r="A379" t="s">
        <v>76</v>
      </c>
      <c r="B379">
        <v>2008</v>
      </c>
      <c r="C379" t="s">
        <v>55</v>
      </c>
      <c r="D379" t="s">
        <v>12</v>
      </c>
      <c r="E379" t="s">
        <v>78</v>
      </c>
      <c r="F379">
        <v>53</v>
      </c>
      <c r="G379">
        <v>301</v>
      </c>
      <c r="H379" t="s">
        <v>14</v>
      </c>
      <c r="I379">
        <v>7</v>
      </c>
      <c r="J379" t="b">
        <v>1</v>
      </c>
      <c r="K379" t="str">
        <f t="shared" si="5"/>
        <v>dib162008</v>
      </c>
      <c r="L379">
        <f>VLOOKUP(K379,BheightCalcs!I$1:M$429, 5, FALSE)</f>
        <v>3.3774999999999995</v>
      </c>
      <c r="M379">
        <f>VLOOKUP(A379, BheightCalcs!P$1:S$39, 4, FALSE)</f>
        <v>5</v>
      </c>
    </row>
    <row r="380" spans="1:13" x14ac:dyDescent="0.2">
      <c r="A380" t="s">
        <v>76</v>
      </c>
      <c r="B380">
        <v>2008</v>
      </c>
      <c r="C380" t="s">
        <v>55</v>
      </c>
      <c r="D380" t="s">
        <v>15</v>
      </c>
      <c r="E380" t="s">
        <v>77</v>
      </c>
      <c r="F380">
        <v>53</v>
      </c>
      <c r="G380">
        <v>301</v>
      </c>
      <c r="H380" t="s">
        <v>14</v>
      </c>
      <c r="I380">
        <v>7</v>
      </c>
      <c r="J380" t="b">
        <v>1</v>
      </c>
      <c r="K380" t="str">
        <f t="shared" si="5"/>
        <v>dib162008</v>
      </c>
      <c r="L380">
        <f>VLOOKUP(K380,BheightCalcs!I$1:M$429, 5, FALSE)</f>
        <v>3.3774999999999995</v>
      </c>
      <c r="M380">
        <f>VLOOKUP(A380, BheightCalcs!P$1:S$39, 4, FALSE)</f>
        <v>5</v>
      </c>
    </row>
    <row r="381" spans="1:13" x14ac:dyDescent="0.2">
      <c r="A381" t="s">
        <v>76</v>
      </c>
      <c r="B381">
        <v>2009</v>
      </c>
      <c r="C381" t="s">
        <v>55</v>
      </c>
      <c r="D381" t="s">
        <v>15</v>
      </c>
      <c r="E381" t="s">
        <v>77</v>
      </c>
      <c r="F381">
        <v>43</v>
      </c>
      <c r="G381">
        <v>288</v>
      </c>
      <c r="H381" t="s">
        <v>14</v>
      </c>
      <c r="I381">
        <v>7</v>
      </c>
      <c r="J381" t="b">
        <v>1</v>
      </c>
      <c r="K381" t="str">
        <f t="shared" si="5"/>
        <v>dib162009</v>
      </c>
      <c r="L381">
        <f>VLOOKUP(K381,BheightCalcs!I$1:M$429, 5, FALSE)</f>
        <v>4.2150499999999997</v>
      </c>
      <c r="M381">
        <f>VLOOKUP(A381, BheightCalcs!P$1:S$39, 4, FALSE)</f>
        <v>5</v>
      </c>
    </row>
    <row r="382" spans="1:13" x14ac:dyDescent="0.2">
      <c r="A382" t="s">
        <v>76</v>
      </c>
      <c r="B382">
        <v>2009</v>
      </c>
      <c r="C382" t="s">
        <v>55</v>
      </c>
      <c r="D382" t="s">
        <v>12</v>
      </c>
      <c r="E382" t="s">
        <v>78</v>
      </c>
      <c r="F382">
        <v>43</v>
      </c>
      <c r="G382">
        <v>288</v>
      </c>
      <c r="H382" t="s">
        <v>14</v>
      </c>
      <c r="I382">
        <v>7</v>
      </c>
      <c r="J382" t="b">
        <v>1</v>
      </c>
      <c r="K382" t="str">
        <f t="shared" si="5"/>
        <v>dib162009</v>
      </c>
      <c r="L382">
        <f>VLOOKUP(K382,BheightCalcs!I$1:M$429, 5, FALSE)</f>
        <v>4.2150499999999997</v>
      </c>
      <c r="M382">
        <f>VLOOKUP(A382, BheightCalcs!P$1:S$39, 4, FALSE)</f>
        <v>5</v>
      </c>
    </row>
    <row r="383" spans="1:13" x14ac:dyDescent="0.2">
      <c r="A383" t="s">
        <v>76</v>
      </c>
      <c r="B383">
        <v>2010</v>
      </c>
      <c r="C383" t="s">
        <v>55</v>
      </c>
      <c r="D383" t="s">
        <v>12</v>
      </c>
      <c r="E383" t="s">
        <v>78</v>
      </c>
      <c r="F383">
        <v>40</v>
      </c>
      <c r="G383">
        <v>282</v>
      </c>
      <c r="H383" t="s">
        <v>14</v>
      </c>
      <c r="I383">
        <v>7</v>
      </c>
      <c r="J383" t="b">
        <v>1</v>
      </c>
      <c r="K383" t="str">
        <f t="shared" si="5"/>
        <v>dib162010</v>
      </c>
      <c r="L383">
        <f>VLOOKUP(K383,BheightCalcs!I$1:M$429, 5, FALSE)</f>
        <v>5.1131500000000001</v>
      </c>
      <c r="M383">
        <f>VLOOKUP(A383, BheightCalcs!P$1:S$39, 4, FALSE)</f>
        <v>5</v>
      </c>
    </row>
    <row r="384" spans="1:13" x14ac:dyDescent="0.2">
      <c r="A384" t="s">
        <v>76</v>
      </c>
      <c r="B384">
        <v>2010</v>
      </c>
      <c r="C384" t="s">
        <v>55</v>
      </c>
      <c r="D384" t="s">
        <v>15</v>
      </c>
      <c r="E384" t="s">
        <v>77</v>
      </c>
      <c r="F384">
        <v>40</v>
      </c>
      <c r="G384">
        <v>282</v>
      </c>
      <c r="H384" t="s">
        <v>14</v>
      </c>
      <c r="I384">
        <v>7</v>
      </c>
      <c r="J384" t="b">
        <v>1</v>
      </c>
      <c r="K384" t="str">
        <f t="shared" si="5"/>
        <v>dib162010</v>
      </c>
      <c r="L384">
        <f>VLOOKUP(K384,BheightCalcs!I$1:M$429, 5, FALSE)</f>
        <v>5.1131500000000001</v>
      </c>
      <c r="M384">
        <f>VLOOKUP(A384, BheightCalcs!P$1:S$39, 4, FALSE)</f>
        <v>5</v>
      </c>
    </row>
    <row r="385" spans="1:13" x14ac:dyDescent="0.2">
      <c r="A385" t="s">
        <v>76</v>
      </c>
      <c r="B385">
        <v>2011</v>
      </c>
      <c r="C385" t="s">
        <v>55</v>
      </c>
      <c r="D385" t="s">
        <v>12</v>
      </c>
      <c r="E385" t="s">
        <v>78</v>
      </c>
      <c r="F385">
        <v>66</v>
      </c>
      <c r="G385">
        <v>269</v>
      </c>
      <c r="H385" t="s">
        <v>14</v>
      </c>
      <c r="I385">
        <v>7</v>
      </c>
      <c r="J385" t="b">
        <v>1</v>
      </c>
      <c r="K385" t="str">
        <f t="shared" si="5"/>
        <v>dib162011</v>
      </c>
      <c r="L385">
        <f>VLOOKUP(K385,BheightCalcs!I$1:M$429, 5, FALSE)</f>
        <v>5.8673500000000001</v>
      </c>
      <c r="M385">
        <f>VLOOKUP(A385, BheightCalcs!P$1:S$39, 4, FALSE)</f>
        <v>5</v>
      </c>
    </row>
    <row r="386" spans="1:13" x14ac:dyDescent="0.2">
      <c r="A386" t="s">
        <v>76</v>
      </c>
      <c r="B386">
        <v>2011</v>
      </c>
      <c r="C386" t="s">
        <v>55</v>
      </c>
      <c r="D386" t="s">
        <v>15</v>
      </c>
      <c r="E386" t="s">
        <v>77</v>
      </c>
      <c r="F386">
        <v>66</v>
      </c>
      <c r="G386">
        <v>269</v>
      </c>
      <c r="H386" t="s">
        <v>14</v>
      </c>
      <c r="I386">
        <v>7</v>
      </c>
      <c r="J386" t="b">
        <v>1</v>
      </c>
      <c r="K386" t="str">
        <f t="shared" si="5"/>
        <v>dib162011</v>
      </c>
      <c r="L386">
        <f>VLOOKUP(K386,BheightCalcs!I$1:M$429, 5, FALSE)</f>
        <v>5.8673500000000001</v>
      </c>
      <c r="M386">
        <f>VLOOKUP(A386, BheightCalcs!P$1:S$39, 4, FALSE)</f>
        <v>5</v>
      </c>
    </row>
    <row r="387" spans="1:13" x14ac:dyDescent="0.2">
      <c r="A387" t="s">
        <v>76</v>
      </c>
      <c r="B387">
        <v>2012</v>
      </c>
      <c r="C387" t="s">
        <v>55</v>
      </c>
      <c r="D387" t="s">
        <v>12</v>
      </c>
      <c r="E387" t="s">
        <v>78</v>
      </c>
      <c r="F387">
        <v>80</v>
      </c>
      <c r="G387">
        <v>305</v>
      </c>
      <c r="H387" t="s">
        <v>14</v>
      </c>
      <c r="I387">
        <v>7</v>
      </c>
      <c r="J387" t="b">
        <v>1</v>
      </c>
      <c r="K387" t="str">
        <f t="shared" ref="K387:K450" si="6">CONCATENATE(A387, B387)</f>
        <v>dib162012</v>
      </c>
      <c r="L387">
        <f>VLOOKUP(K387,BheightCalcs!I$1:M$429, 5, FALSE)</f>
        <v>6.5863500000000004</v>
      </c>
      <c r="M387">
        <f>VLOOKUP(A387, BheightCalcs!P$1:S$39, 4, FALSE)</f>
        <v>5</v>
      </c>
    </row>
    <row r="388" spans="1:13" x14ac:dyDescent="0.2">
      <c r="A388" t="s">
        <v>76</v>
      </c>
      <c r="B388">
        <v>2012</v>
      </c>
      <c r="C388" t="s">
        <v>55</v>
      </c>
      <c r="D388" t="s">
        <v>15</v>
      </c>
      <c r="E388" t="s">
        <v>77</v>
      </c>
      <c r="F388">
        <v>80</v>
      </c>
      <c r="G388">
        <v>305</v>
      </c>
      <c r="H388" t="s">
        <v>14</v>
      </c>
      <c r="I388">
        <v>7</v>
      </c>
      <c r="J388" t="b">
        <v>1</v>
      </c>
      <c r="K388" t="str">
        <f t="shared" si="6"/>
        <v>dib162012</v>
      </c>
      <c r="L388">
        <f>VLOOKUP(K388,BheightCalcs!I$1:M$429, 5, FALSE)</f>
        <v>6.5863500000000004</v>
      </c>
      <c r="M388">
        <f>VLOOKUP(A388, BheightCalcs!P$1:S$39, 4, FALSE)</f>
        <v>5</v>
      </c>
    </row>
    <row r="389" spans="1:13" x14ac:dyDescent="0.2">
      <c r="A389" t="s">
        <v>76</v>
      </c>
      <c r="B389">
        <v>2013</v>
      </c>
      <c r="C389" t="s">
        <v>55</v>
      </c>
      <c r="D389" t="s">
        <v>15</v>
      </c>
      <c r="E389" t="s">
        <v>77</v>
      </c>
      <c r="F389">
        <v>36</v>
      </c>
      <c r="G389">
        <v>257</v>
      </c>
      <c r="H389" t="s">
        <v>14</v>
      </c>
      <c r="I389">
        <v>7</v>
      </c>
      <c r="J389" t="b">
        <v>1</v>
      </c>
      <c r="K389" t="str">
        <f t="shared" si="6"/>
        <v>dib162013</v>
      </c>
      <c r="L389">
        <f>VLOOKUP(K389,BheightCalcs!I$1:M$429, 5, FALSE)</f>
        <v>7</v>
      </c>
      <c r="M389">
        <f>VLOOKUP(A389, BheightCalcs!P$1:S$39, 4, FALSE)</f>
        <v>5</v>
      </c>
    </row>
    <row r="390" spans="1:13" x14ac:dyDescent="0.2">
      <c r="A390" t="s">
        <v>76</v>
      </c>
      <c r="B390">
        <v>2013</v>
      </c>
      <c r="C390" t="s">
        <v>55</v>
      </c>
      <c r="D390" t="s">
        <v>12</v>
      </c>
      <c r="E390" t="s">
        <v>78</v>
      </c>
      <c r="F390">
        <v>36</v>
      </c>
      <c r="G390">
        <v>257</v>
      </c>
      <c r="H390" t="s">
        <v>14</v>
      </c>
      <c r="I390">
        <v>7</v>
      </c>
      <c r="J390" t="b">
        <v>1</v>
      </c>
      <c r="K390" t="str">
        <f t="shared" si="6"/>
        <v>dib162013</v>
      </c>
      <c r="L390">
        <f>VLOOKUP(K390,BheightCalcs!I$1:M$429, 5, FALSE)</f>
        <v>7</v>
      </c>
      <c r="M390">
        <f>VLOOKUP(A390, BheightCalcs!P$1:S$39, 4, FALSE)</f>
        <v>5</v>
      </c>
    </row>
    <row r="391" spans="1:13" x14ac:dyDescent="0.2">
      <c r="A391" t="s">
        <v>79</v>
      </c>
      <c r="B391">
        <v>2000</v>
      </c>
      <c r="C391" t="s">
        <v>80</v>
      </c>
      <c r="D391" t="s">
        <v>12</v>
      </c>
      <c r="E391" t="s">
        <v>82</v>
      </c>
      <c r="F391">
        <v>42</v>
      </c>
      <c r="G391">
        <v>290</v>
      </c>
      <c r="H391" t="s">
        <v>7</v>
      </c>
      <c r="I391">
        <v>7.5</v>
      </c>
      <c r="J391" t="b">
        <v>1</v>
      </c>
      <c r="K391" t="str">
        <f t="shared" si="6"/>
        <v>ras042000</v>
      </c>
      <c r="L391">
        <f>VLOOKUP(K391,BheightCalcs!I$1:M$429, 5, FALSE)</f>
        <v>2.1519999999999997</v>
      </c>
      <c r="M391">
        <f>VLOOKUP(A391, BheightCalcs!P$1:S$39, 4, FALSE)</f>
        <v>13</v>
      </c>
    </row>
    <row r="392" spans="1:13" x14ac:dyDescent="0.2">
      <c r="A392" t="s">
        <v>79</v>
      </c>
      <c r="B392">
        <v>2000</v>
      </c>
      <c r="C392" t="s">
        <v>80</v>
      </c>
      <c r="D392" t="s">
        <v>15</v>
      </c>
      <c r="E392" t="s">
        <v>81</v>
      </c>
      <c r="F392">
        <v>42</v>
      </c>
      <c r="G392">
        <v>290</v>
      </c>
      <c r="H392" t="s">
        <v>7</v>
      </c>
      <c r="I392">
        <v>7.5</v>
      </c>
      <c r="J392" t="b">
        <v>1</v>
      </c>
      <c r="K392" t="str">
        <f t="shared" si="6"/>
        <v>ras042000</v>
      </c>
      <c r="L392">
        <f>VLOOKUP(K392,BheightCalcs!I$1:M$429, 5, FALSE)</f>
        <v>2.1519999999999997</v>
      </c>
      <c r="M392">
        <f>VLOOKUP(A392, BheightCalcs!P$1:S$39, 4, FALSE)</f>
        <v>13</v>
      </c>
    </row>
    <row r="393" spans="1:13" x14ac:dyDescent="0.2">
      <c r="A393" t="s">
        <v>79</v>
      </c>
      <c r="B393">
        <v>2001</v>
      </c>
      <c r="C393" t="s">
        <v>80</v>
      </c>
      <c r="D393" t="s">
        <v>12</v>
      </c>
      <c r="E393" t="s">
        <v>82</v>
      </c>
      <c r="F393">
        <v>35</v>
      </c>
      <c r="G393">
        <v>294</v>
      </c>
      <c r="H393" t="s">
        <v>7</v>
      </c>
      <c r="I393">
        <v>7.5</v>
      </c>
      <c r="J393" t="b">
        <v>1</v>
      </c>
      <c r="K393" t="str">
        <f t="shared" si="6"/>
        <v>ras042001</v>
      </c>
      <c r="L393">
        <f>VLOOKUP(K393,BheightCalcs!I$1:M$429, 5, FALSE)</f>
        <v>2.3689999999999998</v>
      </c>
      <c r="M393">
        <f>VLOOKUP(A393, BheightCalcs!P$1:S$39, 4, FALSE)</f>
        <v>13</v>
      </c>
    </row>
    <row r="394" spans="1:13" x14ac:dyDescent="0.2">
      <c r="A394" t="s">
        <v>79</v>
      </c>
      <c r="B394">
        <v>2001</v>
      </c>
      <c r="C394" t="s">
        <v>80</v>
      </c>
      <c r="D394" t="s">
        <v>15</v>
      </c>
      <c r="E394" t="s">
        <v>81</v>
      </c>
      <c r="F394">
        <v>35</v>
      </c>
      <c r="G394">
        <v>294</v>
      </c>
      <c r="H394" t="s">
        <v>7</v>
      </c>
      <c r="I394">
        <v>7.5</v>
      </c>
      <c r="J394" t="b">
        <v>1</v>
      </c>
      <c r="K394" t="str">
        <f t="shared" si="6"/>
        <v>ras042001</v>
      </c>
      <c r="L394">
        <f>VLOOKUP(K394,BheightCalcs!I$1:M$429, 5, FALSE)</f>
        <v>2.3689999999999998</v>
      </c>
      <c r="M394">
        <f>VLOOKUP(A394, BheightCalcs!P$1:S$39, 4, FALSE)</f>
        <v>13</v>
      </c>
    </row>
    <row r="395" spans="1:13" x14ac:dyDescent="0.2">
      <c r="A395" t="s">
        <v>79</v>
      </c>
      <c r="B395">
        <v>2002</v>
      </c>
      <c r="C395" t="s">
        <v>80</v>
      </c>
      <c r="D395" t="s">
        <v>15</v>
      </c>
      <c r="E395" t="s">
        <v>81</v>
      </c>
      <c r="F395">
        <v>38</v>
      </c>
      <c r="G395">
        <v>312</v>
      </c>
      <c r="H395" t="s">
        <v>7</v>
      </c>
      <c r="I395">
        <v>7.5</v>
      </c>
      <c r="J395" t="b">
        <v>1</v>
      </c>
      <c r="K395" t="str">
        <f t="shared" si="6"/>
        <v>ras042002</v>
      </c>
      <c r="L395">
        <f>VLOOKUP(K395,BheightCalcs!I$1:M$429, 5, FALSE)</f>
        <v>2.7725999999999997</v>
      </c>
      <c r="M395">
        <f>VLOOKUP(A395, BheightCalcs!P$1:S$39, 4, FALSE)</f>
        <v>13</v>
      </c>
    </row>
    <row r="396" spans="1:13" x14ac:dyDescent="0.2">
      <c r="A396" t="s">
        <v>79</v>
      </c>
      <c r="B396">
        <v>2002</v>
      </c>
      <c r="C396" t="s">
        <v>80</v>
      </c>
      <c r="D396" t="s">
        <v>12</v>
      </c>
      <c r="E396" t="s">
        <v>82</v>
      </c>
      <c r="F396">
        <v>38</v>
      </c>
      <c r="G396">
        <v>312</v>
      </c>
      <c r="H396" t="s">
        <v>7</v>
      </c>
      <c r="I396">
        <v>7.5</v>
      </c>
      <c r="J396" t="b">
        <v>1</v>
      </c>
      <c r="K396" t="str">
        <f t="shared" si="6"/>
        <v>ras042002</v>
      </c>
      <c r="L396">
        <f>VLOOKUP(K396,BheightCalcs!I$1:M$429, 5, FALSE)</f>
        <v>2.7725999999999997</v>
      </c>
      <c r="M396">
        <f>VLOOKUP(A396, BheightCalcs!P$1:S$39, 4, FALSE)</f>
        <v>13</v>
      </c>
    </row>
    <row r="397" spans="1:13" x14ac:dyDescent="0.2">
      <c r="A397" t="s">
        <v>79</v>
      </c>
      <c r="B397">
        <v>2003</v>
      </c>
      <c r="C397" t="s">
        <v>80</v>
      </c>
      <c r="D397" t="s">
        <v>12</v>
      </c>
      <c r="E397" t="s">
        <v>82</v>
      </c>
      <c r="F397">
        <v>29</v>
      </c>
      <c r="G397">
        <v>330</v>
      </c>
      <c r="H397" t="s">
        <v>7</v>
      </c>
      <c r="I397">
        <v>7.5</v>
      </c>
      <c r="J397" t="b">
        <v>1</v>
      </c>
      <c r="K397" t="str">
        <f t="shared" si="6"/>
        <v>ras042003</v>
      </c>
      <c r="L397">
        <f>VLOOKUP(K397,BheightCalcs!I$1:M$429, 5, FALSE)</f>
        <v>3.1105999999999998</v>
      </c>
      <c r="M397">
        <f>VLOOKUP(A397, BheightCalcs!P$1:S$39, 4, FALSE)</f>
        <v>13</v>
      </c>
    </row>
    <row r="398" spans="1:13" x14ac:dyDescent="0.2">
      <c r="A398" t="s">
        <v>79</v>
      </c>
      <c r="B398">
        <v>2003</v>
      </c>
      <c r="C398" t="s">
        <v>80</v>
      </c>
      <c r="D398" t="s">
        <v>15</v>
      </c>
      <c r="E398" t="s">
        <v>81</v>
      </c>
      <c r="F398">
        <v>29</v>
      </c>
      <c r="G398">
        <v>330</v>
      </c>
      <c r="H398" t="s">
        <v>7</v>
      </c>
      <c r="I398">
        <v>7.5</v>
      </c>
      <c r="J398" t="b">
        <v>1</v>
      </c>
      <c r="K398" t="str">
        <f t="shared" si="6"/>
        <v>ras042003</v>
      </c>
      <c r="L398">
        <f>VLOOKUP(K398,BheightCalcs!I$1:M$429, 5, FALSE)</f>
        <v>3.1105999999999998</v>
      </c>
      <c r="M398">
        <f>VLOOKUP(A398, BheightCalcs!P$1:S$39, 4, FALSE)</f>
        <v>13</v>
      </c>
    </row>
    <row r="399" spans="1:13" x14ac:dyDescent="0.2">
      <c r="A399" t="s">
        <v>79</v>
      </c>
      <c r="B399">
        <v>2004</v>
      </c>
      <c r="C399" t="s">
        <v>80</v>
      </c>
      <c r="D399" t="s">
        <v>12</v>
      </c>
      <c r="E399" t="s">
        <v>82</v>
      </c>
      <c r="F399">
        <v>30</v>
      </c>
      <c r="G399">
        <v>297</v>
      </c>
      <c r="H399" t="s">
        <v>7</v>
      </c>
      <c r="I399">
        <v>7.5</v>
      </c>
      <c r="J399" t="b">
        <v>1</v>
      </c>
      <c r="K399" t="str">
        <f t="shared" si="6"/>
        <v>ras042004</v>
      </c>
      <c r="L399">
        <f>VLOOKUP(K399,BheightCalcs!I$1:M$429, 5, FALSE)</f>
        <v>3.5722999999999998</v>
      </c>
      <c r="M399">
        <f>VLOOKUP(A399, BheightCalcs!P$1:S$39, 4, FALSE)</f>
        <v>13</v>
      </c>
    </row>
    <row r="400" spans="1:13" x14ac:dyDescent="0.2">
      <c r="A400" t="s">
        <v>79</v>
      </c>
      <c r="B400">
        <v>2004</v>
      </c>
      <c r="C400" t="s">
        <v>80</v>
      </c>
      <c r="D400" t="s">
        <v>15</v>
      </c>
      <c r="E400" t="s">
        <v>81</v>
      </c>
      <c r="F400">
        <v>30</v>
      </c>
      <c r="G400">
        <v>297</v>
      </c>
      <c r="H400" t="s">
        <v>7</v>
      </c>
      <c r="I400">
        <v>7.5</v>
      </c>
      <c r="J400" t="b">
        <v>1</v>
      </c>
      <c r="K400" t="str">
        <f t="shared" si="6"/>
        <v>ras042004</v>
      </c>
      <c r="L400">
        <f>VLOOKUP(K400,BheightCalcs!I$1:M$429, 5, FALSE)</f>
        <v>3.5722999999999998</v>
      </c>
      <c r="M400">
        <f>VLOOKUP(A400, BheightCalcs!P$1:S$39, 4, FALSE)</f>
        <v>13</v>
      </c>
    </row>
    <row r="401" spans="1:13" x14ac:dyDescent="0.2">
      <c r="A401" t="s">
        <v>79</v>
      </c>
      <c r="B401">
        <v>2005</v>
      </c>
      <c r="C401" t="s">
        <v>80</v>
      </c>
      <c r="D401" t="s">
        <v>12</v>
      </c>
      <c r="E401" t="s">
        <v>82</v>
      </c>
      <c r="F401">
        <v>32</v>
      </c>
      <c r="G401">
        <v>306</v>
      </c>
      <c r="H401" t="s">
        <v>7</v>
      </c>
      <c r="I401">
        <v>7.5</v>
      </c>
      <c r="J401" t="b">
        <v>1</v>
      </c>
      <c r="K401" t="str">
        <f t="shared" si="6"/>
        <v>ras042005</v>
      </c>
      <c r="L401">
        <f>VLOOKUP(K401,BheightCalcs!I$1:M$429, 5, FALSE)</f>
        <v>4.1398999999999999</v>
      </c>
      <c r="M401">
        <f>VLOOKUP(A401, BheightCalcs!P$1:S$39, 4, FALSE)</f>
        <v>13</v>
      </c>
    </row>
    <row r="402" spans="1:13" x14ac:dyDescent="0.2">
      <c r="A402" t="s">
        <v>79</v>
      </c>
      <c r="B402">
        <v>2005</v>
      </c>
      <c r="C402" t="s">
        <v>80</v>
      </c>
      <c r="D402" t="s">
        <v>15</v>
      </c>
      <c r="E402" t="s">
        <v>81</v>
      </c>
      <c r="F402">
        <v>32</v>
      </c>
      <c r="G402">
        <v>306</v>
      </c>
      <c r="H402" t="s">
        <v>7</v>
      </c>
      <c r="I402">
        <v>7.5</v>
      </c>
      <c r="J402" t="b">
        <v>1</v>
      </c>
      <c r="K402" t="str">
        <f t="shared" si="6"/>
        <v>ras042005</v>
      </c>
      <c r="L402">
        <f>VLOOKUP(K402,BheightCalcs!I$1:M$429, 5, FALSE)</f>
        <v>4.1398999999999999</v>
      </c>
      <c r="M402">
        <f>VLOOKUP(A402, BheightCalcs!P$1:S$39, 4, FALSE)</f>
        <v>13</v>
      </c>
    </row>
    <row r="403" spans="1:13" x14ac:dyDescent="0.2">
      <c r="A403" t="s">
        <v>79</v>
      </c>
      <c r="B403">
        <v>2006</v>
      </c>
      <c r="C403" t="s">
        <v>80</v>
      </c>
      <c r="D403" t="s">
        <v>12</v>
      </c>
      <c r="E403" t="s">
        <v>82</v>
      </c>
      <c r="F403">
        <v>24</v>
      </c>
      <c r="G403">
        <v>320</v>
      </c>
      <c r="H403" t="s">
        <v>7</v>
      </c>
      <c r="I403">
        <v>7.5</v>
      </c>
      <c r="J403" t="b">
        <v>1</v>
      </c>
      <c r="K403" t="str">
        <f t="shared" si="6"/>
        <v>ras042006</v>
      </c>
      <c r="L403">
        <f>VLOOKUP(K403,BheightCalcs!I$1:M$429, 5, FALSE)</f>
        <v>4.6620499999999998</v>
      </c>
      <c r="M403">
        <f>VLOOKUP(A403, BheightCalcs!P$1:S$39, 4, FALSE)</f>
        <v>13</v>
      </c>
    </row>
    <row r="404" spans="1:13" x14ac:dyDescent="0.2">
      <c r="A404" t="s">
        <v>79</v>
      </c>
      <c r="B404">
        <v>2006</v>
      </c>
      <c r="C404" t="s">
        <v>80</v>
      </c>
      <c r="D404" t="s">
        <v>15</v>
      </c>
      <c r="E404" t="s">
        <v>81</v>
      </c>
      <c r="F404">
        <v>24</v>
      </c>
      <c r="G404">
        <v>320</v>
      </c>
      <c r="H404" t="s">
        <v>7</v>
      </c>
      <c r="I404">
        <v>7.5</v>
      </c>
      <c r="J404" t="b">
        <v>1</v>
      </c>
      <c r="K404" t="str">
        <f t="shared" si="6"/>
        <v>ras042006</v>
      </c>
      <c r="L404">
        <f>VLOOKUP(K404,BheightCalcs!I$1:M$429, 5, FALSE)</f>
        <v>4.6620499999999998</v>
      </c>
      <c r="M404">
        <f>VLOOKUP(A404, BheightCalcs!P$1:S$39, 4, FALSE)</f>
        <v>13</v>
      </c>
    </row>
    <row r="405" spans="1:13" x14ac:dyDescent="0.2">
      <c r="A405" t="s">
        <v>79</v>
      </c>
      <c r="B405">
        <v>2007</v>
      </c>
      <c r="C405" t="s">
        <v>80</v>
      </c>
      <c r="D405" t="s">
        <v>15</v>
      </c>
      <c r="E405" t="s">
        <v>81</v>
      </c>
      <c r="F405">
        <v>7</v>
      </c>
      <c r="G405">
        <v>314</v>
      </c>
      <c r="H405" t="s">
        <v>7</v>
      </c>
      <c r="I405">
        <v>7.5</v>
      </c>
      <c r="J405" t="b">
        <v>1</v>
      </c>
      <c r="K405" t="str">
        <f t="shared" si="6"/>
        <v>ras042007</v>
      </c>
      <c r="L405">
        <f>VLOOKUP(K405,BheightCalcs!I$1:M$429, 5, FALSE)</f>
        <v>5.1362999999999994</v>
      </c>
      <c r="M405">
        <f>VLOOKUP(A405, BheightCalcs!P$1:S$39, 4, FALSE)</f>
        <v>13</v>
      </c>
    </row>
    <row r="406" spans="1:13" x14ac:dyDescent="0.2">
      <c r="A406" t="s">
        <v>79</v>
      </c>
      <c r="B406">
        <v>2007</v>
      </c>
      <c r="C406" t="s">
        <v>80</v>
      </c>
      <c r="D406" t="s">
        <v>12</v>
      </c>
      <c r="E406" t="s">
        <v>82</v>
      </c>
      <c r="F406">
        <v>7</v>
      </c>
      <c r="G406">
        <v>314</v>
      </c>
      <c r="H406" t="s">
        <v>7</v>
      </c>
      <c r="I406">
        <v>7.5</v>
      </c>
      <c r="J406" t="b">
        <v>1</v>
      </c>
      <c r="K406" t="str">
        <f t="shared" si="6"/>
        <v>ras042007</v>
      </c>
      <c r="L406">
        <f>VLOOKUP(K406,BheightCalcs!I$1:M$429, 5, FALSE)</f>
        <v>5.1362999999999994</v>
      </c>
      <c r="M406">
        <f>VLOOKUP(A406, BheightCalcs!P$1:S$39, 4, FALSE)</f>
        <v>13</v>
      </c>
    </row>
    <row r="407" spans="1:13" x14ac:dyDescent="0.2">
      <c r="A407" t="s">
        <v>79</v>
      </c>
      <c r="B407">
        <v>2008</v>
      </c>
      <c r="C407" t="s">
        <v>80</v>
      </c>
      <c r="D407" t="s">
        <v>15</v>
      </c>
      <c r="E407" t="s">
        <v>81</v>
      </c>
      <c r="F407">
        <v>42</v>
      </c>
      <c r="G407">
        <v>299</v>
      </c>
      <c r="H407" t="s">
        <v>7</v>
      </c>
      <c r="I407">
        <v>7.5</v>
      </c>
      <c r="J407" t="b">
        <v>1</v>
      </c>
      <c r="K407" t="str">
        <f t="shared" si="6"/>
        <v>ras042008</v>
      </c>
      <c r="L407">
        <f>VLOOKUP(K407,BheightCalcs!I$1:M$429, 5, FALSE)</f>
        <v>5.5827999999999998</v>
      </c>
      <c r="M407">
        <f>VLOOKUP(A407, BheightCalcs!P$1:S$39, 4, FALSE)</f>
        <v>13</v>
      </c>
    </row>
    <row r="408" spans="1:13" x14ac:dyDescent="0.2">
      <c r="A408" t="s">
        <v>79</v>
      </c>
      <c r="B408">
        <v>2008</v>
      </c>
      <c r="C408" t="s">
        <v>80</v>
      </c>
      <c r="D408" t="s">
        <v>12</v>
      </c>
      <c r="E408" t="s">
        <v>82</v>
      </c>
      <c r="F408">
        <v>42</v>
      </c>
      <c r="G408">
        <v>299</v>
      </c>
      <c r="H408" t="s">
        <v>7</v>
      </c>
      <c r="I408">
        <v>7.5</v>
      </c>
      <c r="J408" t="b">
        <v>1</v>
      </c>
      <c r="K408" t="str">
        <f t="shared" si="6"/>
        <v>ras042008</v>
      </c>
      <c r="L408">
        <f>VLOOKUP(K408,BheightCalcs!I$1:M$429, 5, FALSE)</f>
        <v>5.5827999999999998</v>
      </c>
      <c r="M408">
        <f>VLOOKUP(A408, BheightCalcs!P$1:S$39, 4, FALSE)</f>
        <v>13</v>
      </c>
    </row>
    <row r="409" spans="1:13" x14ac:dyDescent="0.2">
      <c r="A409" t="s">
        <v>79</v>
      </c>
      <c r="B409">
        <v>2009</v>
      </c>
      <c r="C409" t="s">
        <v>80</v>
      </c>
      <c r="D409" t="s">
        <v>12</v>
      </c>
      <c r="E409" t="s">
        <v>82</v>
      </c>
      <c r="F409">
        <v>42</v>
      </c>
      <c r="G409">
        <v>341</v>
      </c>
      <c r="H409" t="s">
        <v>7</v>
      </c>
      <c r="I409">
        <v>7.5</v>
      </c>
      <c r="J409" t="b">
        <v>1</v>
      </c>
      <c r="K409" t="str">
        <f t="shared" si="6"/>
        <v>ras042009</v>
      </c>
      <c r="L409">
        <f>VLOOKUP(K409,BheightCalcs!I$1:M$429, 5, FALSE)</f>
        <v>6.0267999999999997</v>
      </c>
      <c r="M409">
        <f>VLOOKUP(A409, BheightCalcs!P$1:S$39, 4, FALSE)</f>
        <v>13</v>
      </c>
    </row>
    <row r="410" spans="1:13" x14ac:dyDescent="0.2">
      <c r="A410" t="s">
        <v>79</v>
      </c>
      <c r="B410">
        <v>2009</v>
      </c>
      <c r="C410" t="s">
        <v>80</v>
      </c>
      <c r="D410" t="s">
        <v>15</v>
      </c>
      <c r="E410" t="s">
        <v>81</v>
      </c>
      <c r="F410">
        <v>42</v>
      </c>
      <c r="G410">
        <v>341</v>
      </c>
      <c r="H410" t="s">
        <v>7</v>
      </c>
      <c r="I410">
        <v>7.5</v>
      </c>
      <c r="J410" t="b">
        <v>1</v>
      </c>
      <c r="K410" t="str">
        <f t="shared" si="6"/>
        <v>ras042009</v>
      </c>
      <c r="L410">
        <f>VLOOKUP(K410,BheightCalcs!I$1:M$429, 5, FALSE)</f>
        <v>6.0267999999999997</v>
      </c>
      <c r="M410">
        <f>VLOOKUP(A410, BheightCalcs!P$1:S$39, 4, FALSE)</f>
        <v>13</v>
      </c>
    </row>
    <row r="411" spans="1:13" x14ac:dyDescent="0.2">
      <c r="A411" t="s">
        <v>79</v>
      </c>
      <c r="B411">
        <v>2010</v>
      </c>
      <c r="C411" t="s">
        <v>80</v>
      </c>
      <c r="D411" t="s">
        <v>12</v>
      </c>
      <c r="E411" t="s">
        <v>82</v>
      </c>
      <c r="F411">
        <v>41</v>
      </c>
      <c r="G411">
        <v>296</v>
      </c>
      <c r="H411" t="s">
        <v>7</v>
      </c>
      <c r="I411">
        <v>7.5</v>
      </c>
      <c r="J411" t="b">
        <v>1</v>
      </c>
      <c r="K411" t="str">
        <f t="shared" si="6"/>
        <v>ras042010</v>
      </c>
      <c r="L411">
        <f>VLOOKUP(K411,BheightCalcs!I$1:M$429, 5, FALSE)</f>
        <v>6.4707999999999997</v>
      </c>
      <c r="M411">
        <f>VLOOKUP(A411, BheightCalcs!P$1:S$39, 4, FALSE)</f>
        <v>13</v>
      </c>
    </row>
    <row r="412" spans="1:13" x14ac:dyDescent="0.2">
      <c r="A412" t="s">
        <v>79</v>
      </c>
      <c r="B412">
        <v>2010</v>
      </c>
      <c r="C412" t="s">
        <v>80</v>
      </c>
      <c r="D412" t="s">
        <v>15</v>
      </c>
      <c r="E412" t="s">
        <v>81</v>
      </c>
      <c r="F412">
        <v>41</v>
      </c>
      <c r="G412">
        <v>296</v>
      </c>
      <c r="H412" t="s">
        <v>7</v>
      </c>
      <c r="I412">
        <v>7.5</v>
      </c>
      <c r="J412" t="b">
        <v>1</v>
      </c>
      <c r="K412" t="str">
        <f t="shared" si="6"/>
        <v>ras042010</v>
      </c>
      <c r="L412">
        <f>VLOOKUP(K412,BheightCalcs!I$1:M$429, 5, FALSE)</f>
        <v>6.4707999999999997</v>
      </c>
      <c r="M412">
        <f>VLOOKUP(A412, BheightCalcs!P$1:S$39, 4, FALSE)</f>
        <v>13</v>
      </c>
    </row>
    <row r="413" spans="1:13" x14ac:dyDescent="0.2">
      <c r="A413" t="s">
        <v>79</v>
      </c>
      <c r="B413">
        <v>2011</v>
      </c>
      <c r="C413" t="s">
        <v>80</v>
      </c>
      <c r="D413" t="s">
        <v>12</v>
      </c>
      <c r="E413" t="s">
        <v>82</v>
      </c>
      <c r="F413">
        <v>47</v>
      </c>
      <c r="G413">
        <v>337</v>
      </c>
      <c r="H413" t="s">
        <v>7</v>
      </c>
      <c r="I413">
        <v>7.5</v>
      </c>
      <c r="J413" t="b">
        <v>1</v>
      </c>
      <c r="K413" t="str">
        <f t="shared" si="6"/>
        <v>ras042011</v>
      </c>
      <c r="L413">
        <f>VLOOKUP(K413,BheightCalcs!I$1:M$429, 5, FALSE)</f>
        <v>6.8995999999999995</v>
      </c>
      <c r="M413">
        <f>VLOOKUP(A413, BheightCalcs!P$1:S$39, 4, FALSE)</f>
        <v>13</v>
      </c>
    </row>
    <row r="414" spans="1:13" x14ac:dyDescent="0.2">
      <c r="A414" t="s">
        <v>79</v>
      </c>
      <c r="B414">
        <v>2011</v>
      </c>
      <c r="C414" t="s">
        <v>80</v>
      </c>
      <c r="D414" t="s">
        <v>15</v>
      </c>
      <c r="E414" t="s">
        <v>81</v>
      </c>
      <c r="F414">
        <v>47</v>
      </c>
      <c r="G414">
        <v>337</v>
      </c>
      <c r="H414" t="s">
        <v>7</v>
      </c>
      <c r="I414">
        <v>7.5</v>
      </c>
      <c r="J414" t="b">
        <v>1</v>
      </c>
      <c r="K414" t="str">
        <f t="shared" si="6"/>
        <v>ras042011</v>
      </c>
      <c r="L414">
        <f>VLOOKUP(K414,BheightCalcs!I$1:M$429, 5, FALSE)</f>
        <v>6.8995999999999995</v>
      </c>
      <c r="M414">
        <f>VLOOKUP(A414, BheightCalcs!P$1:S$39, 4, FALSE)</f>
        <v>13</v>
      </c>
    </row>
    <row r="415" spans="1:13" x14ac:dyDescent="0.2">
      <c r="A415" t="s">
        <v>79</v>
      </c>
      <c r="B415">
        <v>2012</v>
      </c>
      <c r="C415" t="s">
        <v>80</v>
      </c>
      <c r="D415" t="s">
        <v>12</v>
      </c>
      <c r="E415" t="s">
        <v>82</v>
      </c>
      <c r="F415">
        <v>37</v>
      </c>
      <c r="G415">
        <v>323</v>
      </c>
      <c r="H415" t="s">
        <v>7</v>
      </c>
      <c r="I415">
        <v>7.5</v>
      </c>
      <c r="J415" t="b">
        <v>1</v>
      </c>
      <c r="K415" t="str">
        <f t="shared" si="6"/>
        <v>ras042012</v>
      </c>
      <c r="L415">
        <f>VLOOKUP(K415,BheightCalcs!I$1:M$429, 5, FALSE)</f>
        <v>7.2577999999999996</v>
      </c>
      <c r="M415">
        <f>VLOOKUP(A415, BheightCalcs!P$1:S$39, 4, FALSE)</f>
        <v>13</v>
      </c>
    </row>
    <row r="416" spans="1:13" x14ac:dyDescent="0.2">
      <c r="A416" t="s">
        <v>79</v>
      </c>
      <c r="B416">
        <v>2012</v>
      </c>
      <c r="C416" t="s">
        <v>80</v>
      </c>
      <c r="D416" t="s">
        <v>15</v>
      </c>
      <c r="E416" t="s">
        <v>81</v>
      </c>
      <c r="F416">
        <v>37</v>
      </c>
      <c r="G416">
        <v>323</v>
      </c>
      <c r="H416" t="s">
        <v>7</v>
      </c>
      <c r="I416">
        <v>7.5</v>
      </c>
      <c r="J416" t="b">
        <v>1</v>
      </c>
      <c r="K416" t="str">
        <f t="shared" si="6"/>
        <v>ras042012</v>
      </c>
      <c r="L416">
        <f>VLOOKUP(K416,BheightCalcs!I$1:M$429, 5, FALSE)</f>
        <v>7.2577999999999996</v>
      </c>
      <c r="M416">
        <f>VLOOKUP(A416, BheightCalcs!P$1:S$39, 4, FALSE)</f>
        <v>13</v>
      </c>
    </row>
    <row r="417" spans="1:13" x14ac:dyDescent="0.2">
      <c r="A417" t="s">
        <v>79</v>
      </c>
      <c r="B417">
        <v>2013</v>
      </c>
      <c r="C417" t="s">
        <v>80</v>
      </c>
      <c r="D417" t="s">
        <v>15</v>
      </c>
      <c r="E417" t="s">
        <v>81</v>
      </c>
      <c r="F417">
        <v>20</v>
      </c>
      <c r="G417">
        <v>287</v>
      </c>
      <c r="H417" t="s">
        <v>7</v>
      </c>
      <c r="I417">
        <v>7.5</v>
      </c>
      <c r="J417" t="b">
        <v>1</v>
      </c>
      <c r="K417" t="str">
        <f t="shared" si="6"/>
        <v>ras042013</v>
      </c>
      <c r="L417">
        <f>VLOOKUP(K417,BheightCalcs!I$1:M$429, 5, FALSE)</f>
        <v>7.5</v>
      </c>
      <c r="M417">
        <f>VLOOKUP(A417, BheightCalcs!P$1:S$39, 4, FALSE)</f>
        <v>13</v>
      </c>
    </row>
    <row r="418" spans="1:13" x14ac:dyDescent="0.2">
      <c r="A418" t="s">
        <v>79</v>
      </c>
      <c r="B418">
        <v>2013</v>
      </c>
      <c r="C418" t="s">
        <v>80</v>
      </c>
      <c r="D418" t="s">
        <v>12</v>
      </c>
      <c r="E418" t="s">
        <v>82</v>
      </c>
      <c r="F418">
        <v>20</v>
      </c>
      <c r="G418">
        <v>287</v>
      </c>
      <c r="H418" t="s">
        <v>7</v>
      </c>
      <c r="I418">
        <v>7.5</v>
      </c>
      <c r="J418" t="b">
        <v>1</v>
      </c>
      <c r="K418" t="str">
        <f t="shared" si="6"/>
        <v>ras042013</v>
      </c>
      <c r="L418">
        <f>VLOOKUP(K418,BheightCalcs!I$1:M$429, 5, FALSE)</f>
        <v>7.5</v>
      </c>
      <c r="M418">
        <f>VLOOKUP(A418, BheightCalcs!P$1:S$39, 4, FALSE)</f>
        <v>13</v>
      </c>
    </row>
    <row r="419" spans="1:13" x14ac:dyDescent="0.2">
      <c r="A419" t="s">
        <v>83</v>
      </c>
      <c r="B419">
        <v>2006</v>
      </c>
      <c r="C419" t="s">
        <v>80</v>
      </c>
      <c r="D419" t="s">
        <v>12</v>
      </c>
      <c r="E419" t="s">
        <v>84</v>
      </c>
      <c r="F419">
        <v>24</v>
      </c>
      <c r="G419">
        <v>320</v>
      </c>
      <c r="H419" t="s">
        <v>7</v>
      </c>
      <c r="I419">
        <v>4</v>
      </c>
      <c r="J419" t="b">
        <v>1</v>
      </c>
      <c r="K419" t="str">
        <f t="shared" si="6"/>
        <v>ras072006</v>
      </c>
      <c r="L419">
        <f>VLOOKUP(K419,BheightCalcs!I$1:M$429, 5, FALSE)</f>
        <v>1.4370499999999995</v>
      </c>
      <c r="M419">
        <f>VLOOKUP(A419, BheightCalcs!P$1:S$39, 4, FALSE)</f>
        <v>7</v>
      </c>
    </row>
    <row r="420" spans="1:13" x14ac:dyDescent="0.2">
      <c r="A420" t="s">
        <v>83</v>
      </c>
      <c r="B420">
        <v>2006</v>
      </c>
      <c r="C420" t="s">
        <v>80</v>
      </c>
      <c r="D420" t="s">
        <v>15</v>
      </c>
      <c r="E420" t="s">
        <v>85</v>
      </c>
      <c r="F420">
        <v>24</v>
      </c>
      <c r="G420">
        <v>320</v>
      </c>
      <c r="H420" t="s">
        <v>7</v>
      </c>
      <c r="I420">
        <v>4</v>
      </c>
      <c r="J420" t="b">
        <v>1</v>
      </c>
      <c r="K420" t="str">
        <f t="shared" si="6"/>
        <v>ras072006</v>
      </c>
      <c r="L420">
        <f>VLOOKUP(K420,BheightCalcs!I$1:M$429, 5, FALSE)</f>
        <v>1.4370499999999995</v>
      </c>
      <c r="M420">
        <f>VLOOKUP(A420, BheightCalcs!P$1:S$39, 4, FALSE)</f>
        <v>7</v>
      </c>
    </row>
    <row r="421" spans="1:13" x14ac:dyDescent="0.2">
      <c r="A421" t="s">
        <v>83</v>
      </c>
      <c r="B421">
        <v>2007</v>
      </c>
      <c r="C421" t="s">
        <v>80</v>
      </c>
      <c r="D421" t="s">
        <v>12</v>
      </c>
      <c r="E421" t="s">
        <v>84</v>
      </c>
      <c r="F421">
        <v>7</v>
      </c>
      <c r="G421">
        <v>314</v>
      </c>
      <c r="H421" t="s">
        <v>7</v>
      </c>
      <c r="I421">
        <v>4</v>
      </c>
      <c r="J421" t="b">
        <v>1</v>
      </c>
      <c r="K421" t="str">
        <f t="shared" si="6"/>
        <v>ras072007</v>
      </c>
      <c r="L421">
        <f>VLOOKUP(K421,BheightCalcs!I$1:M$429, 5, FALSE)</f>
        <v>1.7473499999999995</v>
      </c>
      <c r="M421">
        <f>VLOOKUP(A421, BheightCalcs!P$1:S$39, 4, FALSE)</f>
        <v>7</v>
      </c>
    </row>
    <row r="422" spans="1:13" x14ac:dyDescent="0.2">
      <c r="A422" t="s">
        <v>83</v>
      </c>
      <c r="B422">
        <v>2007</v>
      </c>
      <c r="C422" t="s">
        <v>80</v>
      </c>
      <c r="D422" t="s">
        <v>15</v>
      </c>
      <c r="E422" t="s">
        <v>85</v>
      </c>
      <c r="F422">
        <v>7</v>
      </c>
      <c r="G422">
        <v>314</v>
      </c>
      <c r="H422" t="s">
        <v>7</v>
      </c>
      <c r="I422">
        <v>4</v>
      </c>
      <c r="J422" t="b">
        <v>1</v>
      </c>
      <c r="K422" t="str">
        <f t="shared" si="6"/>
        <v>ras072007</v>
      </c>
      <c r="L422">
        <f>VLOOKUP(K422,BheightCalcs!I$1:M$429, 5, FALSE)</f>
        <v>1.7473499999999995</v>
      </c>
      <c r="M422">
        <f>VLOOKUP(A422, BheightCalcs!P$1:S$39, 4, FALSE)</f>
        <v>7</v>
      </c>
    </row>
    <row r="423" spans="1:13" x14ac:dyDescent="0.2">
      <c r="A423" t="s">
        <v>83</v>
      </c>
      <c r="B423">
        <v>2008</v>
      </c>
      <c r="C423" t="s">
        <v>80</v>
      </c>
      <c r="D423" t="s">
        <v>15</v>
      </c>
      <c r="E423" t="s">
        <v>85</v>
      </c>
      <c r="F423">
        <v>42</v>
      </c>
      <c r="G423">
        <v>299</v>
      </c>
      <c r="H423" t="s">
        <v>7</v>
      </c>
      <c r="I423">
        <v>4</v>
      </c>
      <c r="J423" t="b">
        <v>1</v>
      </c>
      <c r="K423" t="str">
        <f t="shared" si="6"/>
        <v>ras072008</v>
      </c>
      <c r="L423">
        <f>VLOOKUP(K423,BheightCalcs!I$1:M$429, 5, FALSE)</f>
        <v>2.1585499999999995</v>
      </c>
      <c r="M423">
        <f>VLOOKUP(A423, BheightCalcs!P$1:S$39, 4, FALSE)</f>
        <v>7</v>
      </c>
    </row>
    <row r="424" spans="1:13" x14ac:dyDescent="0.2">
      <c r="A424" t="s">
        <v>83</v>
      </c>
      <c r="B424">
        <v>2008</v>
      </c>
      <c r="C424" t="s">
        <v>80</v>
      </c>
      <c r="D424" t="s">
        <v>12</v>
      </c>
      <c r="E424" t="s">
        <v>84</v>
      </c>
      <c r="F424">
        <v>42</v>
      </c>
      <c r="G424">
        <v>299</v>
      </c>
      <c r="H424" t="s">
        <v>7</v>
      </c>
      <c r="I424">
        <v>4</v>
      </c>
      <c r="J424" t="b">
        <v>1</v>
      </c>
      <c r="K424" t="str">
        <f t="shared" si="6"/>
        <v>ras072008</v>
      </c>
      <c r="L424">
        <f>VLOOKUP(K424,BheightCalcs!I$1:M$429, 5, FALSE)</f>
        <v>2.1585499999999995</v>
      </c>
      <c r="M424">
        <f>VLOOKUP(A424, BheightCalcs!P$1:S$39, 4, FALSE)</f>
        <v>7</v>
      </c>
    </row>
    <row r="425" spans="1:13" x14ac:dyDescent="0.2">
      <c r="A425" t="s">
        <v>83</v>
      </c>
      <c r="B425">
        <v>2009</v>
      </c>
      <c r="C425" t="s">
        <v>80</v>
      </c>
      <c r="D425" t="s">
        <v>15</v>
      </c>
      <c r="E425" t="s">
        <v>85</v>
      </c>
      <c r="F425">
        <v>42</v>
      </c>
      <c r="G425">
        <v>341</v>
      </c>
      <c r="H425" t="s">
        <v>7</v>
      </c>
      <c r="I425">
        <v>4</v>
      </c>
      <c r="J425" t="b">
        <v>1</v>
      </c>
      <c r="K425" t="str">
        <f t="shared" si="6"/>
        <v>ras072009</v>
      </c>
      <c r="L425">
        <f>VLOOKUP(K425,BheightCalcs!I$1:M$429, 5, FALSE)</f>
        <v>2.3930999999999996</v>
      </c>
      <c r="M425">
        <f>VLOOKUP(A425, BheightCalcs!P$1:S$39, 4, FALSE)</f>
        <v>7</v>
      </c>
    </row>
    <row r="426" spans="1:13" x14ac:dyDescent="0.2">
      <c r="A426" t="s">
        <v>83</v>
      </c>
      <c r="B426">
        <v>2009</v>
      </c>
      <c r="C426" t="s">
        <v>80</v>
      </c>
      <c r="D426" t="s">
        <v>12</v>
      </c>
      <c r="E426" t="s">
        <v>84</v>
      </c>
      <c r="F426">
        <v>42</v>
      </c>
      <c r="G426">
        <v>341</v>
      </c>
      <c r="H426" t="s">
        <v>7</v>
      </c>
      <c r="I426">
        <v>4</v>
      </c>
      <c r="J426" t="b">
        <v>1</v>
      </c>
      <c r="K426" t="str">
        <f t="shared" si="6"/>
        <v>ras072009</v>
      </c>
      <c r="L426">
        <f>VLOOKUP(K426,BheightCalcs!I$1:M$429, 5, FALSE)</f>
        <v>2.3930999999999996</v>
      </c>
      <c r="M426">
        <f>VLOOKUP(A426, BheightCalcs!P$1:S$39, 4, FALSE)</f>
        <v>7</v>
      </c>
    </row>
    <row r="427" spans="1:13" x14ac:dyDescent="0.2">
      <c r="A427" t="s">
        <v>83</v>
      </c>
      <c r="B427">
        <v>2010</v>
      </c>
      <c r="C427" t="s">
        <v>80</v>
      </c>
      <c r="D427" t="s">
        <v>12</v>
      </c>
      <c r="E427" t="s">
        <v>84</v>
      </c>
      <c r="F427">
        <v>41</v>
      </c>
      <c r="G427">
        <v>296</v>
      </c>
      <c r="H427" t="s">
        <v>7</v>
      </c>
      <c r="I427">
        <v>4</v>
      </c>
      <c r="J427" t="b">
        <v>1</v>
      </c>
      <c r="K427" t="str">
        <f t="shared" si="6"/>
        <v>ras072010</v>
      </c>
      <c r="L427">
        <f>VLOOKUP(K427,BheightCalcs!I$1:M$429, 5, FALSE)</f>
        <v>2.7437999999999998</v>
      </c>
      <c r="M427">
        <f>VLOOKUP(A427, BheightCalcs!P$1:S$39, 4, FALSE)</f>
        <v>7</v>
      </c>
    </row>
    <row r="428" spans="1:13" x14ac:dyDescent="0.2">
      <c r="A428" t="s">
        <v>83</v>
      </c>
      <c r="B428">
        <v>2010</v>
      </c>
      <c r="C428" t="s">
        <v>80</v>
      </c>
      <c r="D428" t="s">
        <v>15</v>
      </c>
      <c r="E428" t="s">
        <v>85</v>
      </c>
      <c r="F428">
        <v>41</v>
      </c>
      <c r="G428">
        <v>296</v>
      </c>
      <c r="H428" t="s">
        <v>7</v>
      </c>
      <c r="I428">
        <v>4</v>
      </c>
      <c r="J428" t="b">
        <v>1</v>
      </c>
      <c r="K428" t="str">
        <f t="shared" si="6"/>
        <v>ras072010</v>
      </c>
      <c r="L428">
        <f>VLOOKUP(K428,BheightCalcs!I$1:M$429, 5, FALSE)</f>
        <v>2.7437999999999998</v>
      </c>
      <c r="M428">
        <f>VLOOKUP(A428, BheightCalcs!P$1:S$39, 4, FALSE)</f>
        <v>7</v>
      </c>
    </row>
    <row r="429" spans="1:13" x14ac:dyDescent="0.2">
      <c r="A429" t="s">
        <v>83</v>
      </c>
      <c r="B429">
        <v>2011</v>
      </c>
      <c r="C429" t="s">
        <v>80</v>
      </c>
      <c r="D429" t="s">
        <v>15</v>
      </c>
      <c r="E429" t="s">
        <v>85</v>
      </c>
      <c r="F429">
        <v>47</v>
      </c>
      <c r="G429">
        <v>337</v>
      </c>
      <c r="H429" t="s">
        <v>7</v>
      </c>
      <c r="I429">
        <v>4</v>
      </c>
      <c r="J429" t="b">
        <v>1</v>
      </c>
      <c r="K429" t="str">
        <f t="shared" si="6"/>
        <v>ras072011</v>
      </c>
      <c r="L429">
        <f>VLOOKUP(K429,BheightCalcs!I$1:M$429, 5, FALSE)</f>
        <v>3.0590999999999999</v>
      </c>
      <c r="M429">
        <f>VLOOKUP(A429, BheightCalcs!P$1:S$39, 4, FALSE)</f>
        <v>7</v>
      </c>
    </row>
    <row r="430" spans="1:13" x14ac:dyDescent="0.2">
      <c r="A430" t="s">
        <v>83</v>
      </c>
      <c r="B430">
        <v>2011</v>
      </c>
      <c r="C430" t="s">
        <v>80</v>
      </c>
      <c r="D430" t="s">
        <v>12</v>
      </c>
      <c r="E430" t="s">
        <v>84</v>
      </c>
      <c r="F430">
        <v>47</v>
      </c>
      <c r="G430">
        <v>337</v>
      </c>
      <c r="H430" t="s">
        <v>7</v>
      </c>
      <c r="I430">
        <v>4</v>
      </c>
      <c r="J430" t="b">
        <v>1</v>
      </c>
      <c r="K430" t="str">
        <f t="shared" si="6"/>
        <v>ras072011</v>
      </c>
      <c r="L430">
        <f>VLOOKUP(K430,BheightCalcs!I$1:M$429, 5, FALSE)</f>
        <v>3.0590999999999999</v>
      </c>
      <c r="M430">
        <f>VLOOKUP(A430, BheightCalcs!P$1:S$39, 4, FALSE)</f>
        <v>7</v>
      </c>
    </row>
    <row r="431" spans="1:13" x14ac:dyDescent="0.2">
      <c r="A431" t="s">
        <v>83</v>
      </c>
      <c r="B431">
        <v>2012</v>
      </c>
      <c r="C431" t="s">
        <v>80</v>
      </c>
      <c r="D431" t="s">
        <v>12</v>
      </c>
      <c r="E431" t="s">
        <v>84</v>
      </c>
      <c r="F431">
        <v>37</v>
      </c>
      <c r="G431">
        <v>323</v>
      </c>
      <c r="H431" t="s">
        <v>7</v>
      </c>
      <c r="I431">
        <v>4</v>
      </c>
      <c r="J431" t="b">
        <v>1</v>
      </c>
      <c r="K431" t="str">
        <f t="shared" si="6"/>
        <v>ras072012</v>
      </c>
      <c r="L431">
        <f>VLOOKUP(K431,BheightCalcs!I$1:M$429, 5, FALSE)</f>
        <v>3.5005500000000001</v>
      </c>
      <c r="M431">
        <f>VLOOKUP(A431, BheightCalcs!P$1:S$39, 4, FALSE)</f>
        <v>7</v>
      </c>
    </row>
    <row r="432" spans="1:13" x14ac:dyDescent="0.2">
      <c r="A432" t="s">
        <v>83</v>
      </c>
      <c r="B432">
        <v>2012</v>
      </c>
      <c r="C432" t="s">
        <v>80</v>
      </c>
      <c r="D432" t="s">
        <v>15</v>
      </c>
      <c r="E432" t="s">
        <v>85</v>
      </c>
      <c r="F432">
        <v>37</v>
      </c>
      <c r="G432">
        <v>323</v>
      </c>
      <c r="H432" t="s">
        <v>7</v>
      </c>
      <c r="I432">
        <v>4</v>
      </c>
      <c r="J432" t="b">
        <v>1</v>
      </c>
      <c r="K432" t="str">
        <f t="shared" si="6"/>
        <v>ras072012</v>
      </c>
      <c r="L432">
        <f>VLOOKUP(K432,BheightCalcs!I$1:M$429, 5, FALSE)</f>
        <v>3.5005500000000001</v>
      </c>
      <c r="M432">
        <f>VLOOKUP(A432, BheightCalcs!P$1:S$39, 4, FALSE)</f>
        <v>7</v>
      </c>
    </row>
    <row r="433" spans="1:13" x14ac:dyDescent="0.2">
      <c r="A433" t="s">
        <v>83</v>
      </c>
      <c r="B433">
        <v>2013</v>
      </c>
      <c r="C433" t="s">
        <v>80</v>
      </c>
      <c r="D433" t="s">
        <v>12</v>
      </c>
      <c r="E433" t="s">
        <v>84</v>
      </c>
      <c r="F433">
        <v>20</v>
      </c>
      <c r="G433">
        <v>287</v>
      </c>
      <c r="H433" t="s">
        <v>7</v>
      </c>
      <c r="I433">
        <v>4</v>
      </c>
      <c r="J433" t="b">
        <v>1</v>
      </c>
      <c r="K433" t="str">
        <f t="shared" si="6"/>
        <v>ras072013</v>
      </c>
      <c r="L433">
        <f>VLOOKUP(K433,BheightCalcs!I$1:M$429, 5, FALSE)</f>
        <v>4</v>
      </c>
      <c r="M433">
        <f>VLOOKUP(A433, BheightCalcs!P$1:S$39, 4, FALSE)</f>
        <v>7</v>
      </c>
    </row>
    <row r="434" spans="1:13" x14ac:dyDescent="0.2">
      <c r="A434" t="s">
        <v>83</v>
      </c>
      <c r="B434">
        <v>2013</v>
      </c>
      <c r="C434" t="s">
        <v>80</v>
      </c>
      <c r="D434" t="s">
        <v>15</v>
      </c>
      <c r="E434" t="s">
        <v>85</v>
      </c>
      <c r="F434">
        <v>20</v>
      </c>
      <c r="G434">
        <v>287</v>
      </c>
      <c r="H434" t="s">
        <v>7</v>
      </c>
      <c r="I434">
        <v>4</v>
      </c>
      <c r="J434" t="b">
        <v>1</v>
      </c>
      <c r="K434" t="str">
        <f t="shared" si="6"/>
        <v>ras072013</v>
      </c>
      <c r="L434">
        <f>VLOOKUP(K434,BheightCalcs!I$1:M$429, 5, FALSE)</f>
        <v>4</v>
      </c>
      <c r="M434">
        <f>VLOOKUP(A434, BheightCalcs!P$1:S$39, 4, FALSE)</f>
        <v>7</v>
      </c>
    </row>
    <row r="435" spans="1:13" x14ac:dyDescent="0.2">
      <c r="A435" t="s">
        <v>86</v>
      </c>
      <c r="B435">
        <v>2006</v>
      </c>
      <c r="C435" t="s">
        <v>80</v>
      </c>
      <c r="D435" t="s">
        <v>12</v>
      </c>
      <c r="E435" t="s">
        <v>87</v>
      </c>
      <c r="F435">
        <v>24</v>
      </c>
      <c r="G435">
        <v>320</v>
      </c>
      <c r="H435" t="s">
        <v>7</v>
      </c>
      <c r="I435">
        <v>5</v>
      </c>
      <c r="J435" t="b">
        <v>1</v>
      </c>
      <c r="K435" t="str">
        <f t="shared" si="6"/>
        <v>ras092006</v>
      </c>
      <c r="L435">
        <f>VLOOKUP(K435,BheightCalcs!I$1:M$429, 5, FALSE)</f>
        <v>1.8871000000000002</v>
      </c>
      <c r="M435">
        <f>VLOOKUP(A435, BheightCalcs!P$1:S$39, 4, FALSE)</f>
        <v>7</v>
      </c>
    </row>
    <row r="436" spans="1:13" x14ac:dyDescent="0.2">
      <c r="A436" t="s">
        <v>86</v>
      </c>
      <c r="B436">
        <v>2006</v>
      </c>
      <c r="C436" t="s">
        <v>80</v>
      </c>
      <c r="D436" t="s">
        <v>15</v>
      </c>
      <c r="E436" t="s">
        <v>88</v>
      </c>
      <c r="F436">
        <v>24</v>
      </c>
      <c r="G436">
        <v>320</v>
      </c>
      <c r="H436" t="s">
        <v>7</v>
      </c>
      <c r="I436">
        <v>5</v>
      </c>
      <c r="J436" t="b">
        <v>1</v>
      </c>
      <c r="K436" t="str">
        <f t="shared" si="6"/>
        <v>ras092006</v>
      </c>
      <c r="L436">
        <f>VLOOKUP(K436,BheightCalcs!I$1:M$429, 5, FALSE)</f>
        <v>1.8871000000000002</v>
      </c>
      <c r="M436">
        <f>VLOOKUP(A436, BheightCalcs!P$1:S$39, 4, FALSE)</f>
        <v>7</v>
      </c>
    </row>
    <row r="437" spans="1:13" x14ac:dyDescent="0.2">
      <c r="A437" t="s">
        <v>86</v>
      </c>
      <c r="B437">
        <v>2007</v>
      </c>
      <c r="C437" t="s">
        <v>80</v>
      </c>
      <c r="D437" t="s">
        <v>12</v>
      </c>
      <c r="E437" t="s">
        <v>87</v>
      </c>
      <c r="F437">
        <v>7</v>
      </c>
      <c r="G437">
        <v>314</v>
      </c>
      <c r="H437" t="s">
        <v>7</v>
      </c>
      <c r="I437">
        <v>5</v>
      </c>
      <c r="J437" t="b">
        <v>1</v>
      </c>
      <c r="K437" t="str">
        <f t="shared" si="6"/>
        <v>ras092007</v>
      </c>
      <c r="L437">
        <f>VLOOKUP(K437,BheightCalcs!I$1:M$429, 5, FALSE)</f>
        <v>2.2024500000000002</v>
      </c>
      <c r="M437">
        <f>VLOOKUP(A437, BheightCalcs!P$1:S$39, 4, FALSE)</f>
        <v>7</v>
      </c>
    </row>
    <row r="438" spans="1:13" x14ac:dyDescent="0.2">
      <c r="A438" t="s">
        <v>86</v>
      </c>
      <c r="B438">
        <v>2007</v>
      </c>
      <c r="C438" t="s">
        <v>80</v>
      </c>
      <c r="D438" t="s">
        <v>15</v>
      </c>
      <c r="E438" t="s">
        <v>88</v>
      </c>
      <c r="F438">
        <v>7</v>
      </c>
      <c r="G438">
        <v>314</v>
      </c>
      <c r="H438" t="s">
        <v>7</v>
      </c>
      <c r="I438">
        <v>5</v>
      </c>
      <c r="J438" t="b">
        <v>1</v>
      </c>
      <c r="K438" t="str">
        <f t="shared" si="6"/>
        <v>ras092007</v>
      </c>
      <c r="L438">
        <f>VLOOKUP(K438,BheightCalcs!I$1:M$429, 5, FALSE)</f>
        <v>2.2024500000000002</v>
      </c>
      <c r="M438">
        <f>VLOOKUP(A438, BheightCalcs!P$1:S$39, 4, FALSE)</f>
        <v>7</v>
      </c>
    </row>
    <row r="439" spans="1:13" x14ac:dyDescent="0.2">
      <c r="A439" t="s">
        <v>86</v>
      </c>
      <c r="B439">
        <v>2008</v>
      </c>
      <c r="C439" t="s">
        <v>80</v>
      </c>
      <c r="D439" t="s">
        <v>12</v>
      </c>
      <c r="E439" t="s">
        <v>87</v>
      </c>
      <c r="F439">
        <v>42</v>
      </c>
      <c r="G439">
        <v>299</v>
      </c>
      <c r="H439" t="s">
        <v>7</v>
      </c>
      <c r="I439">
        <v>5</v>
      </c>
      <c r="J439" t="b">
        <v>1</v>
      </c>
      <c r="K439" t="str">
        <f t="shared" si="6"/>
        <v>ras092008</v>
      </c>
      <c r="L439">
        <f>VLOOKUP(K439,BheightCalcs!I$1:M$429, 5, FALSE)</f>
        <v>2.6817000000000002</v>
      </c>
      <c r="M439">
        <f>VLOOKUP(A439, BheightCalcs!P$1:S$39, 4, FALSE)</f>
        <v>7</v>
      </c>
    </row>
    <row r="440" spans="1:13" x14ac:dyDescent="0.2">
      <c r="A440" t="s">
        <v>86</v>
      </c>
      <c r="B440">
        <v>2008</v>
      </c>
      <c r="C440" t="s">
        <v>80</v>
      </c>
      <c r="D440" t="s">
        <v>15</v>
      </c>
      <c r="E440" t="s">
        <v>88</v>
      </c>
      <c r="F440">
        <v>42</v>
      </c>
      <c r="G440">
        <v>299</v>
      </c>
      <c r="H440" t="s">
        <v>7</v>
      </c>
      <c r="I440">
        <v>5</v>
      </c>
      <c r="J440" t="b">
        <v>1</v>
      </c>
      <c r="K440" t="str">
        <f t="shared" si="6"/>
        <v>ras092008</v>
      </c>
      <c r="L440">
        <f>VLOOKUP(K440,BheightCalcs!I$1:M$429, 5, FALSE)</f>
        <v>2.6817000000000002</v>
      </c>
      <c r="M440">
        <f>VLOOKUP(A440, BheightCalcs!P$1:S$39, 4, FALSE)</f>
        <v>7</v>
      </c>
    </row>
    <row r="441" spans="1:13" x14ac:dyDescent="0.2">
      <c r="A441" t="s">
        <v>86</v>
      </c>
      <c r="B441">
        <v>2009</v>
      </c>
      <c r="C441" t="s">
        <v>80</v>
      </c>
      <c r="D441" t="s">
        <v>15</v>
      </c>
      <c r="E441" t="s">
        <v>88</v>
      </c>
      <c r="F441">
        <v>42</v>
      </c>
      <c r="G441">
        <v>341</v>
      </c>
      <c r="H441" t="s">
        <v>7</v>
      </c>
      <c r="I441">
        <v>5</v>
      </c>
      <c r="J441" t="b">
        <v>1</v>
      </c>
      <c r="K441" t="str">
        <f t="shared" si="6"/>
        <v>ras092009</v>
      </c>
      <c r="L441">
        <f>VLOOKUP(K441,BheightCalcs!I$1:M$429, 5, FALSE)</f>
        <v>3.30735</v>
      </c>
      <c r="M441">
        <f>VLOOKUP(A441, BheightCalcs!P$1:S$39, 4, FALSE)</f>
        <v>7</v>
      </c>
    </row>
    <row r="442" spans="1:13" x14ac:dyDescent="0.2">
      <c r="A442" t="s">
        <v>86</v>
      </c>
      <c r="B442">
        <v>2009</v>
      </c>
      <c r="C442" t="s">
        <v>80</v>
      </c>
      <c r="D442" t="s">
        <v>12</v>
      </c>
      <c r="E442" t="s">
        <v>87</v>
      </c>
      <c r="F442">
        <v>42</v>
      </c>
      <c r="G442">
        <v>341</v>
      </c>
      <c r="H442" t="s">
        <v>7</v>
      </c>
      <c r="I442">
        <v>5</v>
      </c>
      <c r="J442" t="b">
        <v>1</v>
      </c>
      <c r="K442" t="str">
        <f t="shared" si="6"/>
        <v>ras092009</v>
      </c>
      <c r="L442">
        <f>VLOOKUP(K442,BheightCalcs!I$1:M$429, 5, FALSE)</f>
        <v>3.30735</v>
      </c>
      <c r="M442">
        <f>VLOOKUP(A442, BheightCalcs!P$1:S$39, 4, FALSE)</f>
        <v>7</v>
      </c>
    </row>
    <row r="443" spans="1:13" x14ac:dyDescent="0.2">
      <c r="A443" t="s">
        <v>86</v>
      </c>
      <c r="B443">
        <v>2010</v>
      </c>
      <c r="C443" t="s">
        <v>80</v>
      </c>
      <c r="D443" t="s">
        <v>12</v>
      </c>
      <c r="E443" t="s">
        <v>87</v>
      </c>
      <c r="F443">
        <v>41</v>
      </c>
      <c r="G443">
        <v>296</v>
      </c>
      <c r="H443" t="s">
        <v>7</v>
      </c>
      <c r="I443">
        <v>5</v>
      </c>
      <c r="J443" t="b">
        <v>1</v>
      </c>
      <c r="K443" t="str">
        <f t="shared" si="6"/>
        <v>ras092010</v>
      </c>
      <c r="L443">
        <f>VLOOKUP(K443,BheightCalcs!I$1:M$429, 5, FALSE)</f>
        <v>3.774</v>
      </c>
      <c r="M443">
        <f>VLOOKUP(A443, BheightCalcs!P$1:S$39, 4, FALSE)</f>
        <v>7</v>
      </c>
    </row>
    <row r="444" spans="1:13" x14ac:dyDescent="0.2">
      <c r="A444" t="s">
        <v>86</v>
      </c>
      <c r="B444">
        <v>2010</v>
      </c>
      <c r="C444" t="s">
        <v>80</v>
      </c>
      <c r="D444" t="s">
        <v>15</v>
      </c>
      <c r="E444" t="s">
        <v>88</v>
      </c>
      <c r="F444">
        <v>41</v>
      </c>
      <c r="G444">
        <v>296</v>
      </c>
      <c r="H444" t="s">
        <v>7</v>
      </c>
      <c r="I444">
        <v>5</v>
      </c>
      <c r="J444" t="b">
        <v>1</v>
      </c>
      <c r="K444" t="str">
        <f t="shared" si="6"/>
        <v>ras092010</v>
      </c>
      <c r="L444">
        <f>VLOOKUP(K444,BheightCalcs!I$1:M$429, 5, FALSE)</f>
        <v>3.774</v>
      </c>
      <c r="M444">
        <f>VLOOKUP(A444, BheightCalcs!P$1:S$39, 4, FALSE)</f>
        <v>7</v>
      </c>
    </row>
    <row r="445" spans="1:13" x14ac:dyDescent="0.2">
      <c r="A445" t="s">
        <v>86</v>
      </c>
      <c r="B445">
        <v>2011</v>
      </c>
      <c r="C445" t="s">
        <v>80</v>
      </c>
      <c r="D445" t="s">
        <v>15</v>
      </c>
      <c r="E445" t="s">
        <v>88</v>
      </c>
      <c r="F445">
        <v>47</v>
      </c>
      <c r="G445">
        <v>337</v>
      </c>
      <c r="H445" t="s">
        <v>7</v>
      </c>
      <c r="I445">
        <v>5</v>
      </c>
      <c r="J445" t="b">
        <v>1</v>
      </c>
      <c r="K445" t="str">
        <f t="shared" si="6"/>
        <v>ras092011</v>
      </c>
      <c r="L445">
        <f>VLOOKUP(K445,BheightCalcs!I$1:M$429, 5, FALSE)</f>
        <v>4.1448499999999999</v>
      </c>
      <c r="M445">
        <f>VLOOKUP(A445, BheightCalcs!P$1:S$39, 4, FALSE)</f>
        <v>7</v>
      </c>
    </row>
    <row r="446" spans="1:13" x14ac:dyDescent="0.2">
      <c r="A446" t="s">
        <v>86</v>
      </c>
      <c r="B446">
        <v>2011</v>
      </c>
      <c r="C446" t="s">
        <v>80</v>
      </c>
      <c r="D446" t="s">
        <v>12</v>
      </c>
      <c r="E446" t="s">
        <v>87</v>
      </c>
      <c r="F446">
        <v>47</v>
      </c>
      <c r="G446">
        <v>337</v>
      </c>
      <c r="H446" t="s">
        <v>7</v>
      </c>
      <c r="I446">
        <v>5</v>
      </c>
      <c r="J446" t="b">
        <v>1</v>
      </c>
      <c r="K446" t="str">
        <f t="shared" si="6"/>
        <v>ras092011</v>
      </c>
      <c r="L446">
        <f>VLOOKUP(K446,BheightCalcs!I$1:M$429, 5, FALSE)</f>
        <v>4.1448499999999999</v>
      </c>
      <c r="M446">
        <f>VLOOKUP(A446, BheightCalcs!P$1:S$39, 4, FALSE)</f>
        <v>7</v>
      </c>
    </row>
    <row r="447" spans="1:13" x14ac:dyDescent="0.2">
      <c r="A447" t="s">
        <v>86</v>
      </c>
      <c r="B447">
        <v>2012</v>
      </c>
      <c r="C447" t="s">
        <v>80</v>
      </c>
      <c r="D447" t="s">
        <v>12</v>
      </c>
      <c r="E447" t="s">
        <v>87</v>
      </c>
      <c r="F447">
        <v>37</v>
      </c>
      <c r="G447">
        <v>323</v>
      </c>
      <c r="H447" t="s">
        <v>7</v>
      </c>
      <c r="I447">
        <v>5</v>
      </c>
      <c r="J447" t="b">
        <v>1</v>
      </c>
      <c r="K447" t="str">
        <f t="shared" si="6"/>
        <v>ras092012</v>
      </c>
      <c r="L447">
        <f>VLOOKUP(K447,BheightCalcs!I$1:M$429, 5, FALSE)</f>
        <v>4.6569000000000003</v>
      </c>
      <c r="M447">
        <f>VLOOKUP(A447, BheightCalcs!P$1:S$39, 4, FALSE)</f>
        <v>7</v>
      </c>
    </row>
    <row r="448" spans="1:13" x14ac:dyDescent="0.2">
      <c r="A448" t="s">
        <v>86</v>
      </c>
      <c r="B448">
        <v>2012</v>
      </c>
      <c r="C448" t="s">
        <v>80</v>
      </c>
      <c r="D448" t="s">
        <v>15</v>
      </c>
      <c r="E448" t="s">
        <v>88</v>
      </c>
      <c r="F448">
        <v>37</v>
      </c>
      <c r="G448">
        <v>323</v>
      </c>
      <c r="H448" t="s">
        <v>7</v>
      </c>
      <c r="I448">
        <v>5</v>
      </c>
      <c r="J448" t="b">
        <v>1</v>
      </c>
      <c r="K448" t="str">
        <f t="shared" si="6"/>
        <v>ras092012</v>
      </c>
      <c r="L448">
        <f>VLOOKUP(K448,BheightCalcs!I$1:M$429, 5, FALSE)</f>
        <v>4.6569000000000003</v>
      </c>
      <c r="M448">
        <f>VLOOKUP(A448, BheightCalcs!P$1:S$39, 4, FALSE)</f>
        <v>7</v>
      </c>
    </row>
    <row r="449" spans="1:13" x14ac:dyDescent="0.2">
      <c r="A449" t="s">
        <v>86</v>
      </c>
      <c r="B449">
        <v>2013</v>
      </c>
      <c r="C449" t="s">
        <v>80</v>
      </c>
      <c r="D449" t="s">
        <v>15</v>
      </c>
      <c r="E449" t="s">
        <v>88</v>
      </c>
      <c r="F449">
        <v>20</v>
      </c>
      <c r="G449">
        <v>287</v>
      </c>
      <c r="H449" t="s">
        <v>7</v>
      </c>
      <c r="I449">
        <v>5</v>
      </c>
      <c r="J449" t="b">
        <v>1</v>
      </c>
      <c r="K449" t="str">
        <f t="shared" si="6"/>
        <v>ras092013</v>
      </c>
      <c r="L449">
        <f>VLOOKUP(K449,BheightCalcs!I$1:M$429, 5, FALSE)</f>
        <v>5</v>
      </c>
      <c r="M449">
        <f>VLOOKUP(A449, BheightCalcs!P$1:S$39, 4, FALSE)</f>
        <v>7</v>
      </c>
    </row>
    <row r="450" spans="1:13" x14ac:dyDescent="0.2">
      <c r="A450" t="s">
        <v>86</v>
      </c>
      <c r="B450">
        <v>2013</v>
      </c>
      <c r="C450" t="s">
        <v>80</v>
      </c>
      <c r="D450" t="s">
        <v>12</v>
      </c>
      <c r="E450" t="s">
        <v>87</v>
      </c>
      <c r="F450">
        <v>20</v>
      </c>
      <c r="G450">
        <v>287</v>
      </c>
      <c r="H450" t="s">
        <v>7</v>
      </c>
      <c r="I450">
        <v>5</v>
      </c>
      <c r="J450" t="b">
        <v>1</v>
      </c>
      <c r="K450" t="str">
        <f t="shared" si="6"/>
        <v>ras092013</v>
      </c>
      <c r="L450">
        <f>VLOOKUP(K450,BheightCalcs!I$1:M$429, 5, FALSE)</f>
        <v>5</v>
      </c>
      <c r="M450">
        <f>VLOOKUP(A450, BheightCalcs!P$1:S$39, 4, FALSE)</f>
        <v>7</v>
      </c>
    </row>
    <row r="451" spans="1:13" x14ac:dyDescent="0.2">
      <c r="A451" t="s">
        <v>89</v>
      </c>
      <c r="B451">
        <v>2001</v>
      </c>
      <c r="C451" t="s">
        <v>80</v>
      </c>
      <c r="D451" t="s">
        <v>15</v>
      </c>
      <c r="E451" t="s">
        <v>90</v>
      </c>
      <c r="F451">
        <v>35</v>
      </c>
      <c r="G451">
        <v>294</v>
      </c>
      <c r="H451" t="s">
        <v>7</v>
      </c>
      <c r="I451">
        <v>11</v>
      </c>
      <c r="J451" t="b">
        <v>1</v>
      </c>
      <c r="K451" t="str">
        <f t="shared" ref="K451:K514" si="7">CONCATENATE(A451, B451)</f>
        <v>ras112001</v>
      </c>
      <c r="L451">
        <f>VLOOKUP(K451,BheightCalcs!I$1:M$429, 5, FALSE)</f>
        <v>2.6854500000000021</v>
      </c>
      <c r="M451">
        <f>VLOOKUP(A451, BheightCalcs!P$1:S$39, 4, FALSE)</f>
        <v>12</v>
      </c>
    </row>
    <row r="452" spans="1:13" x14ac:dyDescent="0.2">
      <c r="A452" t="s">
        <v>89</v>
      </c>
      <c r="B452">
        <v>2001</v>
      </c>
      <c r="C452" t="s">
        <v>80</v>
      </c>
      <c r="D452" t="s">
        <v>12</v>
      </c>
      <c r="E452" t="s">
        <v>91</v>
      </c>
      <c r="F452">
        <v>35</v>
      </c>
      <c r="G452">
        <v>294</v>
      </c>
      <c r="H452" t="s">
        <v>7</v>
      </c>
      <c r="I452">
        <v>11</v>
      </c>
      <c r="J452" t="b">
        <v>1</v>
      </c>
      <c r="K452" t="str">
        <f t="shared" si="7"/>
        <v>ras112001</v>
      </c>
      <c r="L452">
        <f>VLOOKUP(K452,BheightCalcs!I$1:M$429, 5, FALSE)</f>
        <v>2.6854500000000021</v>
      </c>
      <c r="M452">
        <f>VLOOKUP(A452, BheightCalcs!P$1:S$39, 4, FALSE)</f>
        <v>12</v>
      </c>
    </row>
    <row r="453" spans="1:13" x14ac:dyDescent="0.2">
      <c r="A453" t="s">
        <v>89</v>
      </c>
      <c r="B453">
        <v>2002</v>
      </c>
      <c r="C453" t="s">
        <v>80</v>
      </c>
      <c r="D453" t="s">
        <v>12</v>
      </c>
      <c r="E453" t="s">
        <v>91</v>
      </c>
      <c r="F453">
        <v>38</v>
      </c>
      <c r="G453">
        <v>312</v>
      </c>
      <c r="H453" t="s">
        <v>7</v>
      </c>
      <c r="I453">
        <v>11</v>
      </c>
      <c r="J453" t="b">
        <v>1</v>
      </c>
      <c r="K453" t="str">
        <f t="shared" si="7"/>
        <v>ras112002</v>
      </c>
      <c r="L453">
        <f>VLOOKUP(K453,BheightCalcs!I$1:M$429, 5, FALSE)</f>
        <v>3.4043500000000022</v>
      </c>
      <c r="M453">
        <f>VLOOKUP(A453, BheightCalcs!P$1:S$39, 4, FALSE)</f>
        <v>12</v>
      </c>
    </row>
    <row r="454" spans="1:13" x14ac:dyDescent="0.2">
      <c r="A454" t="s">
        <v>89</v>
      </c>
      <c r="B454">
        <v>2002</v>
      </c>
      <c r="C454" t="s">
        <v>80</v>
      </c>
      <c r="D454" t="s">
        <v>15</v>
      </c>
      <c r="E454" t="s">
        <v>90</v>
      </c>
      <c r="F454">
        <v>38</v>
      </c>
      <c r="G454">
        <v>312</v>
      </c>
      <c r="H454" t="s">
        <v>7</v>
      </c>
      <c r="I454">
        <v>11</v>
      </c>
      <c r="J454" t="b">
        <v>1</v>
      </c>
      <c r="K454" t="str">
        <f t="shared" si="7"/>
        <v>ras112002</v>
      </c>
      <c r="L454">
        <f>VLOOKUP(K454,BheightCalcs!I$1:M$429, 5, FALSE)</f>
        <v>3.4043500000000022</v>
      </c>
      <c r="M454">
        <f>VLOOKUP(A454, BheightCalcs!P$1:S$39, 4, FALSE)</f>
        <v>12</v>
      </c>
    </row>
    <row r="455" spans="1:13" x14ac:dyDescent="0.2">
      <c r="A455" t="s">
        <v>89</v>
      </c>
      <c r="B455">
        <v>2003</v>
      </c>
      <c r="C455" t="s">
        <v>80</v>
      </c>
      <c r="D455" t="s">
        <v>12</v>
      </c>
      <c r="E455" t="s">
        <v>91</v>
      </c>
      <c r="F455">
        <v>29</v>
      </c>
      <c r="G455">
        <v>330</v>
      </c>
      <c r="H455" t="s">
        <v>7</v>
      </c>
      <c r="I455">
        <v>11</v>
      </c>
      <c r="J455" t="b">
        <v>1</v>
      </c>
      <c r="K455" t="str">
        <f t="shared" si="7"/>
        <v>ras112003</v>
      </c>
      <c r="L455">
        <f>VLOOKUP(K455,BheightCalcs!I$1:M$429, 5, FALSE)</f>
        <v>4.1561000000000021</v>
      </c>
      <c r="M455">
        <f>VLOOKUP(A455, BheightCalcs!P$1:S$39, 4, FALSE)</f>
        <v>12</v>
      </c>
    </row>
    <row r="456" spans="1:13" x14ac:dyDescent="0.2">
      <c r="A456" t="s">
        <v>89</v>
      </c>
      <c r="B456">
        <v>2003</v>
      </c>
      <c r="C456" t="s">
        <v>80</v>
      </c>
      <c r="D456" t="s">
        <v>15</v>
      </c>
      <c r="E456" t="s">
        <v>90</v>
      </c>
      <c r="F456">
        <v>29</v>
      </c>
      <c r="G456">
        <v>330</v>
      </c>
      <c r="H456" t="s">
        <v>7</v>
      </c>
      <c r="I456">
        <v>11</v>
      </c>
      <c r="J456" t="b">
        <v>1</v>
      </c>
      <c r="K456" t="str">
        <f t="shared" si="7"/>
        <v>ras112003</v>
      </c>
      <c r="L456">
        <f>VLOOKUP(K456,BheightCalcs!I$1:M$429, 5, FALSE)</f>
        <v>4.1561000000000021</v>
      </c>
      <c r="M456">
        <f>VLOOKUP(A456, BheightCalcs!P$1:S$39, 4, FALSE)</f>
        <v>12</v>
      </c>
    </row>
    <row r="457" spans="1:13" x14ac:dyDescent="0.2">
      <c r="A457" t="s">
        <v>89</v>
      </c>
      <c r="B457">
        <v>2004</v>
      </c>
      <c r="C457" t="s">
        <v>80</v>
      </c>
      <c r="D457" t="s">
        <v>12</v>
      </c>
      <c r="E457" t="s">
        <v>91</v>
      </c>
      <c r="F457">
        <v>30</v>
      </c>
      <c r="G457">
        <v>297</v>
      </c>
      <c r="H457" t="s">
        <v>7</v>
      </c>
      <c r="I457">
        <v>11</v>
      </c>
      <c r="J457" t="b">
        <v>1</v>
      </c>
      <c r="K457" t="str">
        <f t="shared" si="7"/>
        <v>ras112004</v>
      </c>
      <c r="L457">
        <f>VLOOKUP(K457,BheightCalcs!I$1:M$429, 5, FALSE)</f>
        <v>4.7766500000000018</v>
      </c>
      <c r="M457">
        <f>VLOOKUP(A457, BheightCalcs!P$1:S$39, 4, FALSE)</f>
        <v>12</v>
      </c>
    </row>
    <row r="458" spans="1:13" x14ac:dyDescent="0.2">
      <c r="A458" t="s">
        <v>89</v>
      </c>
      <c r="B458">
        <v>2004</v>
      </c>
      <c r="C458" t="s">
        <v>80</v>
      </c>
      <c r="D458" t="s">
        <v>15</v>
      </c>
      <c r="E458" t="s">
        <v>90</v>
      </c>
      <c r="F458">
        <v>30</v>
      </c>
      <c r="G458">
        <v>297</v>
      </c>
      <c r="H458" t="s">
        <v>7</v>
      </c>
      <c r="I458">
        <v>11</v>
      </c>
      <c r="J458" t="b">
        <v>1</v>
      </c>
      <c r="K458" t="str">
        <f t="shared" si="7"/>
        <v>ras112004</v>
      </c>
      <c r="L458">
        <f>VLOOKUP(K458,BheightCalcs!I$1:M$429, 5, FALSE)</f>
        <v>4.7766500000000018</v>
      </c>
      <c r="M458">
        <f>VLOOKUP(A458, BheightCalcs!P$1:S$39, 4, FALSE)</f>
        <v>12</v>
      </c>
    </row>
    <row r="459" spans="1:13" x14ac:dyDescent="0.2">
      <c r="A459" t="s">
        <v>89</v>
      </c>
      <c r="B459">
        <v>2005</v>
      </c>
      <c r="C459" t="s">
        <v>80</v>
      </c>
      <c r="D459" t="s">
        <v>15</v>
      </c>
      <c r="E459" t="s">
        <v>90</v>
      </c>
      <c r="F459">
        <v>32</v>
      </c>
      <c r="G459">
        <v>306</v>
      </c>
      <c r="H459" t="s">
        <v>7</v>
      </c>
      <c r="I459">
        <v>11</v>
      </c>
      <c r="J459" t="b">
        <v>1</v>
      </c>
      <c r="K459" t="str">
        <f t="shared" si="7"/>
        <v>ras112005</v>
      </c>
      <c r="L459">
        <f>VLOOKUP(K459,BheightCalcs!I$1:M$429, 5, FALSE)</f>
        <v>5.6091500000000014</v>
      </c>
      <c r="M459">
        <f>VLOOKUP(A459, BheightCalcs!P$1:S$39, 4, FALSE)</f>
        <v>12</v>
      </c>
    </row>
    <row r="460" spans="1:13" x14ac:dyDescent="0.2">
      <c r="A460" t="s">
        <v>89</v>
      </c>
      <c r="B460">
        <v>2005</v>
      </c>
      <c r="C460" t="s">
        <v>80</v>
      </c>
      <c r="D460" t="s">
        <v>12</v>
      </c>
      <c r="E460" t="s">
        <v>91</v>
      </c>
      <c r="F460">
        <v>32</v>
      </c>
      <c r="G460">
        <v>306</v>
      </c>
      <c r="H460" t="s">
        <v>7</v>
      </c>
      <c r="I460">
        <v>11</v>
      </c>
      <c r="J460" t="b">
        <v>1</v>
      </c>
      <c r="K460" t="str">
        <f t="shared" si="7"/>
        <v>ras112005</v>
      </c>
      <c r="L460">
        <f>VLOOKUP(K460,BheightCalcs!I$1:M$429, 5, FALSE)</f>
        <v>5.6091500000000014</v>
      </c>
      <c r="M460">
        <f>VLOOKUP(A460, BheightCalcs!P$1:S$39, 4, FALSE)</f>
        <v>12</v>
      </c>
    </row>
    <row r="461" spans="1:13" x14ac:dyDescent="0.2">
      <c r="A461" t="s">
        <v>89</v>
      </c>
      <c r="B461">
        <v>2006</v>
      </c>
      <c r="C461" t="s">
        <v>80</v>
      </c>
      <c r="D461" t="s">
        <v>15</v>
      </c>
      <c r="E461" t="s">
        <v>90</v>
      </c>
      <c r="F461">
        <v>24</v>
      </c>
      <c r="G461">
        <v>320</v>
      </c>
      <c r="H461" t="s">
        <v>7</v>
      </c>
      <c r="I461">
        <v>11</v>
      </c>
      <c r="J461" t="b">
        <v>1</v>
      </c>
      <c r="K461" t="str">
        <f t="shared" si="7"/>
        <v>ras112006</v>
      </c>
      <c r="L461">
        <f>VLOOKUP(K461,BheightCalcs!I$1:M$429, 5, FALSE)</f>
        <v>6.307900000000001</v>
      </c>
      <c r="M461">
        <f>VLOOKUP(A461, BheightCalcs!P$1:S$39, 4, FALSE)</f>
        <v>12</v>
      </c>
    </row>
    <row r="462" spans="1:13" x14ac:dyDescent="0.2">
      <c r="A462" t="s">
        <v>89</v>
      </c>
      <c r="B462">
        <v>2006</v>
      </c>
      <c r="C462" t="s">
        <v>80</v>
      </c>
      <c r="D462" t="s">
        <v>12</v>
      </c>
      <c r="E462" t="s">
        <v>91</v>
      </c>
      <c r="F462">
        <v>24</v>
      </c>
      <c r="G462">
        <v>320</v>
      </c>
      <c r="H462" t="s">
        <v>7</v>
      </c>
      <c r="I462">
        <v>11</v>
      </c>
      <c r="J462" t="b">
        <v>1</v>
      </c>
      <c r="K462" t="str">
        <f t="shared" si="7"/>
        <v>ras112006</v>
      </c>
      <c r="L462">
        <f>VLOOKUP(K462,BheightCalcs!I$1:M$429, 5, FALSE)</f>
        <v>6.307900000000001</v>
      </c>
      <c r="M462">
        <f>VLOOKUP(A462, BheightCalcs!P$1:S$39, 4, FALSE)</f>
        <v>12</v>
      </c>
    </row>
    <row r="463" spans="1:13" x14ac:dyDescent="0.2">
      <c r="A463" t="s">
        <v>89</v>
      </c>
      <c r="B463">
        <v>2007</v>
      </c>
      <c r="C463" t="s">
        <v>80</v>
      </c>
      <c r="D463" t="s">
        <v>12</v>
      </c>
      <c r="E463" t="s">
        <v>91</v>
      </c>
      <c r="F463">
        <v>7</v>
      </c>
      <c r="G463">
        <v>314</v>
      </c>
      <c r="H463" t="s">
        <v>7</v>
      </c>
      <c r="I463">
        <v>11</v>
      </c>
      <c r="J463" t="b">
        <v>1</v>
      </c>
      <c r="K463" t="str">
        <f t="shared" si="7"/>
        <v>ras112007</v>
      </c>
      <c r="L463">
        <f>VLOOKUP(K463,BheightCalcs!I$1:M$429, 5, FALSE)</f>
        <v>6.971350000000001</v>
      </c>
      <c r="M463">
        <f>VLOOKUP(A463, BheightCalcs!P$1:S$39, 4, FALSE)</f>
        <v>12</v>
      </c>
    </row>
    <row r="464" spans="1:13" x14ac:dyDescent="0.2">
      <c r="A464" t="s">
        <v>89</v>
      </c>
      <c r="B464">
        <v>2007</v>
      </c>
      <c r="C464" t="s">
        <v>80</v>
      </c>
      <c r="D464" t="s">
        <v>15</v>
      </c>
      <c r="E464" t="s">
        <v>90</v>
      </c>
      <c r="F464">
        <v>7</v>
      </c>
      <c r="G464">
        <v>314</v>
      </c>
      <c r="H464" t="s">
        <v>7</v>
      </c>
      <c r="I464">
        <v>11</v>
      </c>
      <c r="J464" t="b">
        <v>1</v>
      </c>
      <c r="K464" t="str">
        <f t="shared" si="7"/>
        <v>ras112007</v>
      </c>
      <c r="L464">
        <f>VLOOKUP(K464,BheightCalcs!I$1:M$429, 5, FALSE)</f>
        <v>6.971350000000001</v>
      </c>
      <c r="M464">
        <f>VLOOKUP(A464, BheightCalcs!P$1:S$39, 4, FALSE)</f>
        <v>12</v>
      </c>
    </row>
    <row r="465" spans="1:13" x14ac:dyDescent="0.2">
      <c r="A465" t="s">
        <v>89</v>
      </c>
      <c r="B465">
        <v>2008</v>
      </c>
      <c r="C465" t="s">
        <v>80</v>
      </c>
      <c r="D465" t="s">
        <v>15</v>
      </c>
      <c r="E465" t="s">
        <v>90</v>
      </c>
      <c r="F465">
        <v>42</v>
      </c>
      <c r="G465">
        <v>299</v>
      </c>
      <c r="H465" t="s">
        <v>7</v>
      </c>
      <c r="I465">
        <v>11</v>
      </c>
      <c r="J465" t="b">
        <v>1</v>
      </c>
      <c r="K465" t="str">
        <f t="shared" si="7"/>
        <v>ras112008</v>
      </c>
      <c r="L465">
        <f>VLOOKUP(K465,BheightCalcs!I$1:M$429, 5, FALSE)</f>
        <v>7.6903000000000006</v>
      </c>
      <c r="M465">
        <f>VLOOKUP(A465, BheightCalcs!P$1:S$39, 4, FALSE)</f>
        <v>12</v>
      </c>
    </row>
    <row r="466" spans="1:13" x14ac:dyDescent="0.2">
      <c r="A466" t="s">
        <v>89</v>
      </c>
      <c r="B466">
        <v>2008</v>
      </c>
      <c r="C466" t="s">
        <v>80</v>
      </c>
      <c r="D466" t="s">
        <v>12</v>
      </c>
      <c r="E466" t="s">
        <v>91</v>
      </c>
      <c r="F466">
        <v>42</v>
      </c>
      <c r="G466">
        <v>299</v>
      </c>
      <c r="H466" t="s">
        <v>7</v>
      </c>
      <c r="I466">
        <v>11</v>
      </c>
      <c r="J466" t="b">
        <v>1</v>
      </c>
      <c r="K466" t="str">
        <f t="shared" si="7"/>
        <v>ras112008</v>
      </c>
      <c r="L466">
        <f>VLOOKUP(K466,BheightCalcs!I$1:M$429, 5, FALSE)</f>
        <v>7.6903000000000006</v>
      </c>
      <c r="M466">
        <f>VLOOKUP(A466, BheightCalcs!P$1:S$39, 4, FALSE)</f>
        <v>12</v>
      </c>
    </row>
    <row r="467" spans="1:13" x14ac:dyDescent="0.2">
      <c r="A467" t="s">
        <v>89</v>
      </c>
      <c r="B467">
        <v>2009</v>
      </c>
      <c r="C467" t="s">
        <v>80</v>
      </c>
      <c r="D467" t="s">
        <v>12</v>
      </c>
      <c r="E467" t="s">
        <v>91</v>
      </c>
      <c r="F467">
        <v>42</v>
      </c>
      <c r="G467">
        <v>341</v>
      </c>
      <c r="H467" t="s">
        <v>7</v>
      </c>
      <c r="I467">
        <v>11</v>
      </c>
      <c r="J467" t="b">
        <v>1</v>
      </c>
      <c r="K467" t="str">
        <f t="shared" si="7"/>
        <v>ras112009</v>
      </c>
      <c r="L467">
        <f>VLOOKUP(K467,BheightCalcs!I$1:M$429, 5, FALSE)</f>
        <v>8.6514500000000005</v>
      </c>
      <c r="M467">
        <f>VLOOKUP(A467, BheightCalcs!P$1:S$39, 4, FALSE)</f>
        <v>12</v>
      </c>
    </row>
    <row r="468" spans="1:13" x14ac:dyDescent="0.2">
      <c r="A468" t="s">
        <v>89</v>
      </c>
      <c r="B468">
        <v>2009</v>
      </c>
      <c r="C468" t="s">
        <v>80</v>
      </c>
      <c r="D468" t="s">
        <v>15</v>
      </c>
      <c r="E468" t="s">
        <v>90</v>
      </c>
      <c r="F468">
        <v>42</v>
      </c>
      <c r="G468">
        <v>341</v>
      </c>
      <c r="H468" t="s">
        <v>7</v>
      </c>
      <c r="I468">
        <v>11</v>
      </c>
      <c r="J468" t="b">
        <v>1</v>
      </c>
      <c r="K468" t="str">
        <f t="shared" si="7"/>
        <v>ras112009</v>
      </c>
      <c r="L468">
        <f>VLOOKUP(K468,BheightCalcs!I$1:M$429, 5, FALSE)</f>
        <v>8.6514500000000005</v>
      </c>
      <c r="M468">
        <f>VLOOKUP(A468, BheightCalcs!P$1:S$39, 4, FALSE)</f>
        <v>12</v>
      </c>
    </row>
    <row r="469" spans="1:13" x14ac:dyDescent="0.2">
      <c r="A469" t="s">
        <v>89</v>
      </c>
      <c r="B469">
        <v>2010</v>
      </c>
      <c r="C469" t="s">
        <v>80</v>
      </c>
      <c r="D469" t="s">
        <v>15</v>
      </c>
      <c r="E469" t="s">
        <v>90</v>
      </c>
      <c r="F469">
        <v>41</v>
      </c>
      <c r="G469">
        <v>296</v>
      </c>
      <c r="H469" t="s">
        <v>7</v>
      </c>
      <c r="I469">
        <v>11</v>
      </c>
      <c r="J469" t="b">
        <v>1</v>
      </c>
      <c r="K469" t="str">
        <f t="shared" si="7"/>
        <v>ras112010</v>
      </c>
      <c r="L469">
        <f>VLOOKUP(K469,BheightCalcs!I$1:M$429, 5, FALSE)</f>
        <v>9.1812000000000005</v>
      </c>
      <c r="M469">
        <f>VLOOKUP(A469, BheightCalcs!P$1:S$39, 4, FALSE)</f>
        <v>12</v>
      </c>
    </row>
    <row r="470" spans="1:13" x14ac:dyDescent="0.2">
      <c r="A470" t="s">
        <v>89</v>
      </c>
      <c r="B470">
        <v>2010</v>
      </c>
      <c r="C470" t="s">
        <v>80</v>
      </c>
      <c r="D470" t="s">
        <v>12</v>
      </c>
      <c r="E470" t="s">
        <v>91</v>
      </c>
      <c r="F470">
        <v>41</v>
      </c>
      <c r="G470">
        <v>296</v>
      </c>
      <c r="H470" t="s">
        <v>7</v>
      </c>
      <c r="I470">
        <v>11</v>
      </c>
      <c r="J470" t="b">
        <v>1</v>
      </c>
      <c r="K470" t="str">
        <f t="shared" si="7"/>
        <v>ras112010</v>
      </c>
      <c r="L470">
        <f>VLOOKUP(K470,BheightCalcs!I$1:M$429, 5, FALSE)</f>
        <v>9.1812000000000005</v>
      </c>
      <c r="M470">
        <f>VLOOKUP(A470, BheightCalcs!P$1:S$39, 4, FALSE)</f>
        <v>12</v>
      </c>
    </row>
    <row r="471" spans="1:13" x14ac:dyDescent="0.2">
      <c r="A471" t="s">
        <v>89</v>
      </c>
      <c r="B471">
        <v>2011</v>
      </c>
      <c r="C471" t="s">
        <v>80</v>
      </c>
      <c r="D471" t="s">
        <v>15</v>
      </c>
      <c r="E471" t="s">
        <v>90</v>
      </c>
      <c r="F471">
        <v>47</v>
      </c>
      <c r="G471">
        <v>337</v>
      </c>
      <c r="H471" t="s">
        <v>7</v>
      </c>
      <c r="I471">
        <v>11</v>
      </c>
      <c r="J471" t="b">
        <v>1</v>
      </c>
      <c r="K471" t="str">
        <f t="shared" si="7"/>
        <v>ras112011</v>
      </c>
      <c r="L471">
        <f>VLOOKUP(K471,BheightCalcs!I$1:M$429, 5, FALSE)</f>
        <v>9.9253499999999999</v>
      </c>
      <c r="M471">
        <f>VLOOKUP(A471, BheightCalcs!P$1:S$39, 4, FALSE)</f>
        <v>12</v>
      </c>
    </row>
    <row r="472" spans="1:13" x14ac:dyDescent="0.2">
      <c r="A472" t="s">
        <v>89</v>
      </c>
      <c r="B472">
        <v>2011</v>
      </c>
      <c r="C472" t="s">
        <v>80</v>
      </c>
      <c r="D472" t="s">
        <v>12</v>
      </c>
      <c r="E472" t="s">
        <v>91</v>
      </c>
      <c r="F472">
        <v>47</v>
      </c>
      <c r="G472">
        <v>337</v>
      </c>
      <c r="H472" t="s">
        <v>7</v>
      </c>
      <c r="I472">
        <v>11</v>
      </c>
      <c r="J472" t="b">
        <v>1</v>
      </c>
      <c r="K472" t="str">
        <f t="shared" si="7"/>
        <v>ras112011</v>
      </c>
      <c r="L472">
        <f>VLOOKUP(K472,BheightCalcs!I$1:M$429, 5, FALSE)</f>
        <v>9.9253499999999999</v>
      </c>
      <c r="M472">
        <f>VLOOKUP(A472, BheightCalcs!P$1:S$39, 4, FALSE)</f>
        <v>12</v>
      </c>
    </row>
    <row r="473" spans="1:13" x14ac:dyDescent="0.2">
      <c r="A473" t="s">
        <v>89</v>
      </c>
      <c r="B473">
        <v>2012</v>
      </c>
      <c r="C473" t="s">
        <v>80</v>
      </c>
      <c r="D473" t="s">
        <v>15</v>
      </c>
      <c r="E473" t="s">
        <v>90</v>
      </c>
      <c r="F473">
        <v>37</v>
      </c>
      <c r="G473">
        <v>323</v>
      </c>
      <c r="H473" t="s">
        <v>7</v>
      </c>
      <c r="I473">
        <v>11</v>
      </c>
      <c r="J473" t="b">
        <v>1</v>
      </c>
      <c r="K473" t="str">
        <f t="shared" si="7"/>
        <v>ras112012</v>
      </c>
      <c r="L473">
        <f>VLOOKUP(K473,BheightCalcs!I$1:M$429, 5, FALSE)</f>
        <v>10.38955</v>
      </c>
      <c r="M473">
        <f>VLOOKUP(A473, BheightCalcs!P$1:S$39, 4, FALSE)</f>
        <v>12</v>
      </c>
    </row>
    <row r="474" spans="1:13" x14ac:dyDescent="0.2">
      <c r="A474" t="s">
        <v>89</v>
      </c>
      <c r="B474">
        <v>2012</v>
      </c>
      <c r="C474" t="s">
        <v>80</v>
      </c>
      <c r="D474" t="s">
        <v>12</v>
      </c>
      <c r="E474" t="s">
        <v>91</v>
      </c>
      <c r="F474">
        <v>37</v>
      </c>
      <c r="G474">
        <v>323</v>
      </c>
      <c r="H474" t="s">
        <v>7</v>
      </c>
      <c r="I474">
        <v>11</v>
      </c>
      <c r="J474" t="b">
        <v>1</v>
      </c>
      <c r="K474" t="str">
        <f t="shared" si="7"/>
        <v>ras112012</v>
      </c>
      <c r="L474">
        <f>VLOOKUP(K474,BheightCalcs!I$1:M$429, 5, FALSE)</f>
        <v>10.38955</v>
      </c>
      <c r="M474">
        <f>VLOOKUP(A474, BheightCalcs!P$1:S$39, 4, FALSE)</f>
        <v>12</v>
      </c>
    </row>
    <row r="475" spans="1:13" x14ac:dyDescent="0.2">
      <c r="A475" t="s">
        <v>89</v>
      </c>
      <c r="B475">
        <v>2013</v>
      </c>
      <c r="C475" t="s">
        <v>80</v>
      </c>
      <c r="D475" t="s">
        <v>15</v>
      </c>
      <c r="E475" t="s">
        <v>90</v>
      </c>
      <c r="F475">
        <v>20</v>
      </c>
      <c r="G475">
        <v>287</v>
      </c>
      <c r="H475" t="s">
        <v>7</v>
      </c>
      <c r="I475">
        <v>11</v>
      </c>
      <c r="J475" t="b">
        <v>1</v>
      </c>
      <c r="K475" t="str">
        <f t="shared" si="7"/>
        <v>ras112013</v>
      </c>
      <c r="L475">
        <f>VLOOKUP(K475,BheightCalcs!I$1:M$429, 5, FALSE)</f>
        <v>11</v>
      </c>
      <c r="M475">
        <f>VLOOKUP(A475, BheightCalcs!P$1:S$39, 4, FALSE)</f>
        <v>12</v>
      </c>
    </row>
    <row r="476" spans="1:13" x14ac:dyDescent="0.2">
      <c r="A476" t="s">
        <v>89</v>
      </c>
      <c r="B476">
        <v>2013</v>
      </c>
      <c r="C476" t="s">
        <v>80</v>
      </c>
      <c r="D476" t="s">
        <v>12</v>
      </c>
      <c r="E476" t="s">
        <v>91</v>
      </c>
      <c r="F476">
        <v>20</v>
      </c>
      <c r="G476">
        <v>287</v>
      </c>
      <c r="H476" t="s">
        <v>7</v>
      </c>
      <c r="I476">
        <v>11</v>
      </c>
      <c r="J476" t="b">
        <v>1</v>
      </c>
      <c r="K476" t="str">
        <f t="shared" si="7"/>
        <v>ras112013</v>
      </c>
      <c r="L476">
        <f>VLOOKUP(K476,BheightCalcs!I$1:M$429, 5, FALSE)</f>
        <v>11</v>
      </c>
      <c r="M476">
        <f>VLOOKUP(A476, BheightCalcs!P$1:S$39, 4, FALSE)</f>
        <v>12</v>
      </c>
    </row>
    <row r="477" spans="1:13" x14ac:dyDescent="0.2">
      <c r="A477" t="s">
        <v>92</v>
      </c>
      <c r="B477">
        <v>2000</v>
      </c>
      <c r="C477" t="s">
        <v>80</v>
      </c>
      <c r="D477" t="s">
        <v>15</v>
      </c>
      <c r="E477" t="s">
        <v>93</v>
      </c>
      <c r="F477">
        <v>42</v>
      </c>
      <c r="G477">
        <v>290</v>
      </c>
      <c r="H477" t="s">
        <v>7</v>
      </c>
      <c r="I477">
        <v>12</v>
      </c>
      <c r="J477" t="b">
        <v>1</v>
      </c>
      <c r="K477" t="str">
        <f t="shared" si="7"/>
        <v>ras122000</v>
      </c>
      <c r="L477">
        <f>VLOOKUP(K477,BheightCalcs!I$1:M$429, 5, FALSE)</f>
        <v>4.9997500000000006</v>
      </c>
      <c r="M477">
        <f>VLOOKUP(A477, BheightCalcs!P$1:S$39, 4, FALSE)</f>
        <v>13</v>
      </c>
    </row>
    <row r="478" spans="1:13" x14ac:dyDescent="0.2">
      <c r="A478" t="s">
        <v>92</v>
      </c>
      <c r="B478">
        <v>2000</v>
      </c>
      <c r="C478" t="s">
        <v>80</v>
      </c>
      <c r="D478" t="s">
        <v>12</v>
      </c>
      <c r="E478" t="s">
        <v>94</v>
      </c>
      <c r="F478">
        <v>42</v>
      </c>
      <c r="G478">
        <v>290</v>
      </c>
      <c r="H478" t="s">
        <v>7</v>
      </c>
      <c r="I478">
        <v>12</v>
      </c>
      <c r="J478" t="b">
        <v>1</v>
      </c>
      <c r="K478" t="str">
        <f t="shared" si="7"/>
        <v>ras122000</v>
      </c>
      <c r="L478">
        <f>VLOOKUP(K478,BheightCalcs!I$1:M$429, 5, FALSE)</f>
        <v>4.9997500000000006</v>
      </c>
      <c r="M478">
        <f>VLOOKUP(A478, BheightCalcs!P$1:S$39, 4, FALSE)</f>
        <v>13</v>
      </c>
    </row>
    <row r="479" spans="1:13" x14ac:dyDescent="0.2">
      <c r="A479" t="s">
        <v>92</v>
      </c>
      <c r="B479">
        <v>2001</v>
      </c>
      <c r="C479" t="s">
        <v>80</v>
      </c>
      <c r="D479" t="s">
        <v>12</v>
      </c>
      <c r="E479" t="s">
        <v>94</v>
      </c>
      <c r="F479">
        <v>35</v>
      </c>
      <c r="G479">
        <v>294</v>
      </c>
      <c r="H479" t="s">
        <v>7</v>
      </c>
      <c r="I479">
        <v>12</v>
      </c>
      <c r="J479" t="b">
        <v>1</v>
      </c>
      <c r="K479" t="str">
        <f t="shared" si="7"/>
        <v>ras122001</v>
      </c>
      <c r="L479">
        <f>VLOOKUP(K479,BheightCalcs!I$1:M$429, 5, FALSE)</f>
        <v>5.5522000000000009</v>
      </c>
      <c r="M479">
        <f>VLOOKUP(A479, BheightCalcs!P$1:S$39, 4, FALSE)</f>
        <v>13</v>
      </c>
    </row>
    <row r="480" spans="1:13" x14ac:dyDescent="0.2">
      <c r="A480" t="s">
        <v>92</v>
      </c>
      <c r="B480">
        <v>2001</v>
      </c>
      <c r="C480" t="s">
        <v>80</v>
      </c>
      <c r="D480" t="s">
        <v>15</v>
      </c>
      <c r="E480" t="s">
        <v>93</v>
      </c>
      <c r="F480">
        <v>35</v>
      </c>
      <c r="G480">
        <v>294</v>
      </c>
      <c r="H480" t="s">
        <v>7</v>
      </c>
      <c r="I480">
        <v>12</v>
      </c>
      <c r="J480" t="b">
        <v>1</v>
      </c>
      <c r="K480" t="str">
        <f t="shared" si="7"/>
        <v>ras122001</v>
      </c>
      <c r="L480">
        <f>VLOOKUP(K480,BheightCalcs!I$1:M$429, 5, FALSE)</f>
        <v>5.5522000000000009</v>
      </c>
      <c r="M480">
        <f>VLOOKUP(A480, BheightCalcs!P$1:S$39, 4, FALSE)</f>
        <v>13</v>
      </c>
    </row>
    <row r="481" spans="1:13" x14ac:dyDescent="0.2">
      <c r="A481" t="s">
        <v>92</v>
      </c>
      <c r="B481">
        <v>2002</v>
      </c>
      <c r="C481" t="s">
        <v>80</v>
      </c>
      <c r="D481" t="s">
        <v>15</v>
      </c>
      <c r="E481" t="s">
        <v>93</v>
      </c>
      <c r="F481">
        <v>38</v>
      </c>
      <c r="G481">
        <v>312</v>
      </c>
      <c r="H481" t="s">
        <v>7</v>
      </c>
      <c r="I481">
        <v>12</v>
      </c>
      <c r="J481" t="b">
        <v>1</v>
      </c>
      <c r="K481" t="str">
        <f t="shared" si="7"/>
        <v>ras122002</v>
      </c>
      <c r="L481">
        <f>VLOOKUP(K481,BheightCalcs!I$1:M$429, 5, FALSE)</f>
        <v>6.0264500000000005</v>
      </c>
      <c r="M481">
        <f>VLOOKUP(A481, BheightCalcs!P$1:S$39, 4, FALSE)</f>
        <v>13</v>
      </c>
    </row>
    <row r="482" spans="1:13" x14ac:dyDescent="0.2">
      <c r="A482" t="s">
        <v>92</v>
      </c>
      <c r="B482">
        <v>2002</v>
      </c>
      <c r="C482" t="s">
        <v>80</v>
      </c>
      <c r="D482" t="s">
        <v>12</v>
      </c>
      <c r="E482" t="s">
        <v>94</v>
      </c>
      <c r="F482">
        <v>38</v>
      </c>
      <c r="G482">
        <v>312</v>
      </c>
      <c r="H482" t="s">
        <v>7</v>
      </c>
      <c r="I482">
        <v>12</v>
      </c>
      <c r="J482" t="b">
        <v>1</v>
      </c>
      <c r="K482" t="str">
        <f t="shared" si="7"/>
        <v>ras122002</v>
      </c>
      <c r="L482">
        <f>VLOOKUP(K482,BheightCalcs!I$1:M$429, 5, FALSE)</f>
        <v>6.0264500000000005</v>
      </c>
      <c r="M482">
        <f>VLOOKUP(A482, BheightCalcs!P$1:S$39, 4, FALSE)</f>
        <v>13</v>
      </c>
    </row>
    <row r="483" spans="1:13" x14ac:dyDescent="0.2">
      <c r="A483" t="s">
        <v>92</v>
      </c>
      <c r="B483">
        <v>2003</v>
      </c>
      <c r="C483" t="s">
        <v>80</v>
      </c>
      <c r="D483" t="s">
        <v>12</v>
      </c>
      <c r="E483" t="s">
        <v>94</v>
      </c>
      <c r="F483">
        <v>29</v>
      </c>
      <c r="G483">
        <v>330</v>
      </c>
      <c r="H483" t="s">
        <v>7</v>
      </c>
      <c r="I483">
        <v>12</v>
      </c>
      <c r="J483" t="b">
        <v>1</v>
      </c>
      <c r="K483" t="str">
        <f t="shared" si="7"/>
        <v>ras122003</v>
      </c>
      <c r="L483">
        <f>VLOOKUP(K483,BheightCalcs!I$1:M$429, 5, FALSE)</f>
        <v>6.3922000000000008</v>
      </c>
      <c r="M483">
        <f>VLOOKUP(A483, BheightCalcs!P$1:S$39, 4, FALSE)</f>
        <v>13</v>
      </c>
    </row>
    <row r="484" spans="1:13" x14ac:dyDescent="0.2">
      <c r="A484" t="s">
        <v>92</v>
      </c>
      <c r="B484">
        <v>2003</v>
      </c>
      <c r="C484" t="s">
        <v>80</v>
      </c>
      <c r="D484" t="s">
        <v>15</v>
      </c>
      <c r="E484" t="s">
        <v>93</v>
      </c>
      <c r="F484">
        <v>29</v>
      </c>
      <c r="G484">
        <v>330</v>
      </c>
      <c r="H484" t="s">
        <v>7</v>
      </c>
      <c r="I484">
        <v>12</v>
      </c>
      <c r="J484" t="b">
        <v>1</v>
      </c>
      <c r="K484" t="str">
        <f t="shared" si="7"/>
        <v>ras122003</v>
      </c>
      <c r="L484">
        <f>VLOOKUP(K484,BheightCalcs!I$1:M$429, 5, FALSE)</f>
        <v>6.3922000000000008</v>
      </c>
      <c r="M484">
        <f>VLOOKUP(A484, BheightCalcs!P$1:S$39, 4, FALSE)</f>
        <v>13</v>
      </c>
    </row>
    <row r="485" spans="1:13" x14ac:dyDescent="0.2">
      <c r="A485" t="s">
        <v>92</v>
      </c>
      <c r="B485">
        <v>2004</v>
      </c>
      <c r="C485" t="s">
        <v>80</v>
      </c>
      <c r="D485" t="s">
        <v>12</v>
      </c>
      <c r="E485" t="s">
        <v>94</v>
      </c>
      <c r="F485">
        <v>30</v>
      </c>
      <c r="G485">
        <v>297</v>
      </c>
      <c r="H485" t="s">
        <v>7</v>
      </c>
      <c r="I485">
        <v>12</v>
      </c>
      <c r="J485" t="b">
        <v>1</v>
      </c>
      <c r="K485" t="str">
        <f t="shared" si="7"/>
        <v>ras122004</v>
      </c>
      <c r="L485">
        <f>VLOOKUP(K485,BheightCalcs!I$1:M$429, 5, FALSE)</f>
        <v>7.1086500000000008</v>
      </c>
      <c r="M485">
        <f>VLOOKUP(A485, BheightCalcs!P$1:S$39, 4, FALSE)</f>
        <v>13</v>
      </c>
    </row>
    <row r="486" spans="1:13" x14ac:dyDescent="0.2">
      <c r="A486" t="s">
        <v>92</v>
      </c>
      <c r="B486">
        <v>2004</v>
      </c>
      <c r="C486" t="s">
        <v>80</v>
      </c>
      <c r="D486" t="s">
        <v>15</v>
      </c>
      <c r="E486" t="s">
        <v>93</v>
      </c>
      <c r="F486">
        <v>30</v>
      </c>
      <c r="G486">
        <v>297</v>
      </c>
      <c r="H486" t="s">
        <v>7</v>
      </c>
      <c r="I486">
        <v>12</v>
      </c>
      <c r="J486" t="b">
        <v>1</v>
      </c>
      <c r="K486" t="str">
        <f t="shared" si="7"/>
        <v>ras122004</v>
      </c>
      <c r="L486">
        <f>VLOOKUP(K486,BheightCalcs!I$1:M$429, 5, FALSE)</f>
        <v>7.1086500000000008</v>
      </c>
      <c r="M486">
        <f>VLOOKUP(A486, BheightCalcs!P$1:S$39, 4, FALSE)</f>
        <v>13</v>
      </c>
    </row>
    <row r="487" spans="1:13" x14ac:dyDescent="0.2">
      <c r="A487" t="s">
        <v>92</v>
      </c>
      <c r="B487">
        <v>2005</v>
      </c>
      <c r="C487" t="s">
        <v>80</v>
      </c>
      <c r="D487" t="s">
        <v>12</v>
      </c>
      <c r="E487" t="s">
        <v>94</v>
      </c>
      <c r="F487">
        <v>32</v>
      </c>
      <c r="G487">
        <v>306</v>
      </c>
      <c r="H487" t="s">
        <v>7</v>
      </c>
      <c r="I487">
        <v>12</v>
      </c>
      <c r="J487" t="b">
        <v>1</v>
      </c>
      <c r="K487" t="str">
        <f t="shared" si="7"/>
        <v>ras122005</v>
      </c>
      <c r="L487">
        <f>VLOOKUP(K487,BheightCalcs!I$1:M$429, 5, FALSE)</f>
        <v>7.5703000000000005</v>
      </c>
      <c r="M487">
        <f>VLOOKUP(A487, BheightCalcs!P$1:S$39, 4, FALSE)</f>
        <v>13</v>
      </c>
    </row>
    <row r="488" spans="1:13" x14ac:dyDescent="0.2">
      <c r="A488" t="s">
        <v>92</v>
      </c>
      <c r="B488">
        <v>2005</v>
      </c>
      <c r="C488" t="s">
        <v>80</v>
      </c>
      <c r="D488" t="s">
        <v>15</v>
      </c>
      <c r="E488" t="s">
        <v>93</v>
      </c>
      <c r="F488">
        <v>32</v>
      </c>
      <c r="G488">
        <v>306</v>
      </c>
      <c r="H488" t="s">
        <v>7</v>
      </c>
      <c r="I488">
        <v>12</v>
      </c>
      <c r="J488" t="b">
        <v>1</v>
      </c>
      <c r="K488" t="str">
        <f t="shared" si="7"/>
        <v>ras122005</v>
      </c>
      <c r="L488">
        <f>VLOOKUP(K488,BheightCalcs!I$1:M$429, 5, FALSE)</f>
        <v>7.5703000000000005</v>
      </c>
      <c r="M488">
        <f>VLOOKUP(A488, BheightCalcs!P$1:S$39, 4, FALSE)</f>
        <v>13</v>
      </c>
    </row>
    <row r="489" spans="1:13" x14ac:dyDescent="0.2">
      <c r="A489" t="s">
        <v>92</v>
      </c>
      <c r="B489">
        <v>2006</v>
      </c>
      <c r="C489" t="s">
        <v>80</v>
      </c>
      <c r="D489" t="s">
        <v>12</v>
      </c>
      <c r="E489" t="s">
        <v>94</v>
      </c>
      <c r="F489">
        <v>24</v>
      </c>
      <c r="G489">
        <v>320</v>
      </c>
      <c r="H489" t="s">
        <v>7</v>
      </c>
      <c r="I489">
        <v>12</v>
      </c>
      <c r="J489" t="b">
        <v>1</v>
      </c>
      <c r="K489" t="str">
        <f t="shared" si="7"/>
        <v>ras122006</v>
      </c>
      <c r="L489">
        <f>VLOOKUP(K489,BheightCalcs!I$1:M$429, 5, FALSE)</f>
        <v>8.1454500000000003</v>
      </c>
      <c r="M489">
        <f>VLOOKUP(A489, BheightCalcs!P$1:S$39, 4, FALSE)</f>
        <v>13</v>
      </c>
    </row>
    <row r="490" spans="1:13" x14ac:dyDescent="0.2">
      <c r="A490" t="s">
        <v>92</v>
      </c>
      <c r="B490">
        <v>2006</v>
      </c>
      <c r="C490" t="s">
        <v>80</v>
      </c>
      <c r="D490" t="s">
        <v>15</v>
      </c>
      <c r="E490" t="s">
        <v>93</v>
      </c>
      <c r="F490">
        <v>24</v>
      </c>
      <c r="G490">
        <v>320</v>
      </c>
      <c r="H490" t="s">
        <v>7</v>
      </c>
      <c r="I490">
        <v>12</v>
      </c>
      <c r="J490" t="b">
        <v>1</v>
      </c>
      <c r="K490" t="str">
        <f t="shared" si="7"/>
        <v>ras122006</v>
      </c>
      <c r="L490">
        <f>VLOOKUP(K490,BheightCalcs!I$1:M$429, 5, FALSE)</f>
        <v>8.1454500000000003</v>
      </c>
      <c r="M490">
        <f>VLOOKUP(A490, BheightCalcs!P$1:S$39, 4, FALSE)</f>
        <v>13</v>
      </c>
    </row>
    <row r="491" spans="1:13" x14ac:dyDescent="0.2">
      <c r="A491" t="s">
        <v>92</v>
      </c>
      <c r="B491">
        <v>2007</v>
      </c>
      <c r="C491" t="s">
        <v>80</v>
      </c>
      <c r="D491" t="s">
        <v>15</v>
      </c>
      <c r="E491" t="s">
        <v>93</v>
      </c>
      <c r="F491">
        <v>7</v>
      </c>
      <c r="G491">
        <v>314</v>
      </c>
      <c r="H491" t="s">
        <v>7</v>
      </c>
      <c r="I491">
        <v>12</v>
      </c>
      <c r="J491" t="b">
        <v>1</v>
      </c>
      <c r="K491" t="str">
        <f t="shared" si="7"/>
        <v>ras122007</v>
      </c>
      <c r="L491">
        <f>VLOOKUP(K491,BheightCalcs!I$1:M$429, 5, FALSE)</f>
        <v>8.8467500000000001</v>
      </c>
      <c r="M491">
        <f>VLOOKUP(A491, BheightCalcs!P$1:S$39, 4, FALSE)</f>
        <v>13</v>
      </c>
    </row>
    <row r="492" spans="1:13" x14ac:dyDescent="0.2">
      <c r="A492" t="s">
        <v>92</v>
      </c>
      <c r="B492">
        <v>2007</v>
      </c>
      <c r="C492" t="s">
        <v>80</v>
      </c>
      <c r="D492" t="s">
        <v>12</v>
      </c>
      <c r="E492" t="s">
        <v>94</v>
      </c>
      <c r="F492">
        <v>7</v>
      </c>
      <c r="G492">
        <v>314</v>
      </c>
      <c r="H492" t="s">
        <v>7</v>
      </c>
      <c r="I492">
        <v>12</v>
      </c>
      <c r="J492" t="b">
        <v>1</v>
      </c>
      <c r="K492" t="str">
        <f t="shared" si="7"/>
        <v>ras122007</v>
      </c>
      <c r="L492">
        <f>VLOOKUP(K492,BheightCalcs!I$1:M$429, 5, FALSE)</f>
        <v>8.8467500000000001</v>
      </c>
      <c r="M492">
        <f>VLOOKUP(A492, BheightCalcs!P$1:S$39, 4, FALSE)</f>
        <v>13</v>
      </c>
    </row>
    <row r="493" spans="1:13" x14ac:dyDescent="0.2">
      <c r="A493" t="s">
        <v>92</v>
      </c>
      <c r="B493">
        <v>2008</v>
      </c>
      <c r="C493" t="s">
        <v>80</v>
      </c>
      <c r="D493" t="s">
        <v>12</v>
      </c>
      <c r="E493" t="s">
        <v>94</v>
      </c>
      <c r="F493">
        <v>42</v>
      </c>
      <c r="G493">
        <v>299</v>
      </c>
      <c r="H493" t="s">
        <v>7</v>
      </c>
      <c r="I493">
        <v>12</v>
      </c>
      <c r="J493" t="b">
        <v>1</v>
      </c>
      <c r="K493" t="str">
        <f t="shared" si="7"/>
        <v>ras122008</v>
      </c>
      <c r="L493">
        <f>VLOOKUP(K493,BheightCalcs!I$1:M$429, 5, FALSE)</f>
        <v>9.5581499999999995</v>
      </c>
      <c r="M493">
        <f>VLOOKUP(A493, BheightCalcs!P$1:S$39, 4, FALSE)</f>
        <v>13</v>
      </c>
    </row>
    <row r="494" spans="1:13" x14ac:dyDescent="0.2">
      <c r="A494" t="s">
        <v>92</v>
      </c>
      <c r="B494">
        <v>2008</v>
      </c>
      <c r="C494" t="s">
        <v>80</v>
      </c>
      <c r="D494" t="s">
        <v>15</v>
      </c>
      <c r="E494" t="s">
        <v>93</v>
      </c>
      <c r="F494">
        <v>42</v>
      </c>
      <c r="G494">
        <v>299</v>
      </c>
      <c r="H494" t="s">
        <v>7</v>
      </c>
      <c r="I494">
        <v>12</v>
      </c>
      <c r="J494" t="b">
        <v>1</v>
      </c>
      <c r="K494" t="str">
        <f t="shared" si="7"/>
        <v>ras122008</v>
      </c>
      <c r="L494">
        <f>VLOOKUP(K494,BheightCalcs!I$1:M$429, 5, FALSE)</f>
        <v>9.5581499999999995</v>
      </c>
      <c r="M494">
        <f>VLOOKUP(A494, BheightCalcs!P$1:S$39, 4, FALSE)</f>
        <v>13</v>
      </c>
    </row>
    <row r="495" spans="1:13" x14ac:dyDescent="0.2">
      <c r="A495" t="s">
        <v>92</v>
      </c>
      <c r="B495">
        <v>2009</v>
      </c>
      <c r="C495" t="s">
        <v>80</v>
      </c>
      <c r="D495" t="s">
        <v>15</v>
      </c>
      <c r="E495" t="s">
        <v>93</v>
      </c>
      <c r="F495">
        <v>42</v>
      </c>
      <c r="G495">
        <v>341</v>
      </c>
      <c r="H495" t="s">
        <v>7</v>
      </c>
      <c r="I495">
        <v>12</v>
      </c>
      <c r="J495" t="b">
        <v>1</v>
      </c>
      <c r="K495" t="str">
        <f t="shared" si="7"/>
        <v>ras122009</v>
      </c>
      <c r="L495">
        <f>VLOOKUP(K495,BheightCalcs!I$1:M$429, 5, FALSE)</f>
        <v>9.8507499999999997</v>
      </c>
      <c r="M495">
        <f>VLOOKUP(A495, BheightCalcs!P$1:S$39, 4, FALSE)</f>
        <v>13</v>
      </c>
    </row>
    <row r="496" spans="1:13" x14ac:dyDescent="0.2">
      <c r="A496" t="s">
        <v>92</v>
      </c>
      <c r="B496">
        <v>2009</v>
      </c>
      <c r="C496" t="s">
        <v>80</v>
      </c>
      <c r="D496" t="s">
        <v>12</v>
      </c>
      <c r="E496" t="s">
        <v>94</v>
      </c>
      <c r="F496">
        <v>42</v>
      </c>
      <c r="G496">
        <v>341</v>
      </c>
      <c r="H496" t="s">
        <v>7</v>
      </c>
      <c r="I496">
        <v>12</v>
      </c>
      <c r="J496" t="b">
        <v>1</v>
      </c>
      <c r="K496" t="str">
        <f t="shared" si="7"/>
        <v>ras122009</v>
      </c>
      <c r="L496">
        <f>VLOOKUP(K496,BheightCalcs!I$1:M$429, 5, FALSE)</f>
        <v>9.8507499999999997</v>
      </c>
      <c r="M496">
        <f>VLOOKUP(A496, BheightCalcs!P$1:S$39, 4, FALSE)</f>
        <v>13</v>
      </c>
    </row>
    <row r="497" spans="1:13" x14ac:dyDescent="0.2">
      <c r="A497" t="s">
        <v>92</v>
      </c>
      <c r="B497">
        <v>2010</v>
      </c>
      <c r="C497" t="s">
        <v>80</v>
      </c>
      <c r="D497" t="s">
        <v>15</v>
      </c>
      <c r="E497" t="s">
        <v>93</v>
      </c>
      <c r="F497">
        <v>41</v>
      </c>
      <c r="G497">
        <v>296</v>
      </c>
      <c r="H497" t="s">
        <v>7</v>
      </c>
      <c r="I497">
        <v>12</v>
      </c>
      <c r="J497" t="b">
        <v>1</v>
      </c>
      <c r="K497" t="str">
        <f t="shared" si="7"/>
        <v>ras122010</v>
      </c>
      <c r="L497">
        <f>VLOOKUP(K497,BheightCalcs!I$1:M$429, 5, FALSE)</f>
        <v>10.4032</v>
      </c>
      <c r="M497">
        <f>VLOOKUP(A497, BheightCalcs!P$1:S$39, 4, FALSE)</f>
        <v>13</v>
      </c>
    </row>
    <row r="498" spans="1:13" x14ac:dyDescent="0.2">
      <c r="A498" t="s">
        <v>92</v>
      </c>
      <c r="B498">
        <v>2010</v>
      </c>
      <c r="C498" t="s">
        <v>80</v>
      </c>
      <c r="D498" t="s">
        <v>12</v>
      </c>
      <c r="E498" t="s">
        <v>94</v>
      </c>
      <c r="F498">
        <v>41</v>
      </c>
      <c r="G498">
        <v>296</v>
      </c>
      <c r="H498" t="s">
        <v>7</v>
      </c>
      <c r="I498">
        <v>12</v>
      </c>
      <c r="J498" t="b">
        <v>1</v>
      </c>
      <c r="K498" t="str">
        <f t="shared" si="7"/>
        <v>ras122010</v>
      </c>
      <c r="L498">
        <f>VLOOKUP(K498,BheightCalcs!I$1:M$429, 5, FALSE)</f>
        <v>10.4032</v>
      </c>
      <c r="M498">
        <f>VLOOKUP(A498, BheightCalcs!P$1:S$39, 4, FALSE)</f>
        <v>13</v>
      </c>
    </row>
    <row r="499" spans="1:13" x14ac:dyDescent="0.2">
      <c r="A499" t="s">
        <v>92</v>
      </c>
      <c r="B499">
        <v>2011</v>
      </c>
      <c r="C499" t="s">
        <v>80</v>
      </c>
      <c r="D499" t="s">
        <v>12</v>
      </c>
      <c r="E499" t="s">
        <v>94</v>
      </c>
      <c r="F499">
        <v>47</v>
      </c>
      <c r="G499">
        <v>337</v>
      </c>
      <c r="H499" t="s">
        <v>7</v>
      </c>
      <c r="I499">
        <v>12</v>
      </c>
      <c r="J499" t="b">
        <v>1</v>
      </c>
      <c r="K499" t="str">
        <f t="shared" si="7"/>
        <v>ras122011</v>
      </c>
      <c r="L499">
        <f>VLOOKUP(K499,BheightCalcs!I$1:M$429, 5, FALSE)</f>
        <v>10.8825</v>
      </c>
      <c r="M499">
        <f>VLOOKUP(A499, BheightCalcs!P$1:S$39, 4, FALSE)</f>
        <v>13</v>
      </c>
    </row>
    <row r="500" spans="1:13" x14ac:dyDescent="0.2">
      <c r="A500" t="s">
        <v>92</v>
      </c>
      <c r="B500">
        <v>2011</v>
      </c>
      <c r="C500" t="s">
        <v>80</v>
      </c>
      <c r="D500" t="s">
        <v>15</v>
      </c>
      <c r="E500" t="s">
        <v>93</v>
      </c>
      <c r="F500">
        <v>47</v>
      </c>
      <c r="G500">
        <v>337</v>
      </c>
      <c r="H500" t="s">
        <v>7</v>
      </c>
      <c r="I500">
        <v>12</v>
      </c>
      <c r="J500" t="b">
        <v>1</v>
      </c>
      <c r="K500" t="str">
        <f t="shared" si="7"/>
        <v>ras122011</v>
      </c>
      <c r="L500">
        <f>VLOOKUP(K500,BheightCalcs!I$1:M$429, 5, FALSE)</f>
        <v>10.8825</v>
      </c>
      <c r="M500">
        <f>VLOOKUP(A500, BheightCalcs!P$1:S$39, 4, FALSE)</f>
        <v>13</v>
      </c>
    </row>
    <row r="501" spans="1:13" x14ac:dyDescent="0.2">
      <c r="A501" t="s">
        <v>92</v>
      </c>
      <c r="B501">
        <v>2012</v>
      </c>
      <c r="C501" t="s">
        <v>80</v>
      </c>
      <c r="D501" t="s">
        <v>15</v>
      </c>
      <c r="E501" t="s">
        <v>93</v>
      </c>
      <c r="F501">
        <v>37</v>
      </c>
      <c r="G501">
        <v>323</v>
      </c>
      <c r="H501" t="s">
        <v>7</v>
      </c>
      <c r="I501">
        <v>12</v>
      </c>
      <c r="J501" t="b">
        <v>1</v>
      </c>
      <c r="K501" t="str">
        <f t="shared" si="7"/>
        <v>ras122012</v>
      </c>
      <c r="L501">
        <f>VLOOKUP(K501,BheightCalcs!I$1:M$429, 5, FALSE)</f>
        <v>11.4879</v>
      </c>
      <c r="M501">
        <f>VLOOKUP(A501, BheightCalcs!P$1:S$39, 4, FALSE)</f>
        <v>13</v>
      </c>
    </row>
    <row r="502" spans="1:13" x14ac:dyDescent="0.2">
      <c r="A502" t="s">
        <v>92</v>
      </c>
      <c r="B502">
        <v>2012</v>
      </c>
      <c r="C502" t="s">
        <v>80</v>
      </c>
      <c r="D502" t="s">
        <v>12</v>
      </c>
      <c r="E502" t="s">
        <v>94</v>
      </c>
      <c r="F502">
        <v>37</v>
      </c>
      <c r="G502">
        <v>323</v>
      </c>
      <c r="H502" t="s">
        <v>7</v>
      </c>
      <c r="I502">
        <v>12</v>
      </c>
      <c r="J502" t="b">
        <v>1</v>
      </c>
      <c r="K502" t="str">
        <f t="shared" si="7"/>
        <v>ras122012</v>
      </c>
      <c r="L502">
        <f>VLOOKUP(K502,BheightCalcs!I$1:M$429, 5, FALSE)</f>
        <v>11.4879</v>
      </c>
      <c r="M502">
        <f>VLOOKUP(A502, BheightCalcs!P$1:S$39, 4, FALSE)</f>
        <v>13</v>
      </c>
    </row>
    <row r="503" spans="1:13" x14ac:dyDescent="0.2">
      <c r="A503" t="s">
        <v>92</v>
      </c>
      <c r="B503">
        <v>2013</v>
      </c>
      <c r="C503" t="s">
        <v>80</v>
      </c>
      <c r="D503" t="s">
        <v>15</v>
      </c>
      <c r="E503" t="s">
        <v>93</v>
      </c>
      <c r="F503">
        <v>20</v>
      </c>
      <c r="G503">
        <v>287</v>
      </c>
      <c r="H503" t="s">
        <v>7</v>
      </c>
      <c r="I503">
        <v>12</v>
      </c>
      <c r="J503" t="b">
        <v>1</v>
      </c>
      <c r="K503" t="str">
        <f t="shared" si="7"/>
        <v>ras122013</v>
      </c>
      <c r="L503">
        <f>VLOOKUP(K503,BheightCalcs!I$1:M$429, 5, FALSE)</f>
        <v>12</v>
      </c>
      <c r="M503">
        <f>VLOOKUP(A503, BheightCalcs!P$1:S$39, 4, FALSE)</f>
        <v>13</v>
      </c>
    </row>
    <row r="504" spans="1:13" x14ac:dyDescent="0.2">
      <c r="A504" t="s">
        <v>92</v>
      </c>
      <c r="B504">
        <v>2013</v>
      </c>
      <c r="C504" t="s">
        <v>80</v>
      </c>
      <c r="D504" t="s">
        <v>12</v>
      </c>
      <c r="E504" t="s">
        <v>94</v>
      </c>
      <c r="F504">
        <v>20</v>
      </c>
      <c r="G504">
        <v>287</v>
      </c>
      <c r="H504" t="s">
        <v>7</v>
      </c>
      <c r="I504">
        <v>12</v>
      </c>
      <c r="J504" t="b">
        <v>1</v>
      </c>
      <c r="K504" t="str">
        <f t="shared" si="7"/>
        <v>ras122013</v>
      </c>
      <c r="L504">
        <f>VLOOKUP(K504,BheightCalcs!I$1:M$429, 5, FALSE)</f>
        <v>12</v>
      </c>
      <c r="M504">
        <f>VLOOKUP(A504, BheightCalcs!P$1:S$39, 4, FALSE)</f>
        <v>13</v>
      </c>
    </row>
    <row r="505" spans="1:13" x14ac:dyDescent="0.2">
      <c r="A505" t="s">
        <v>95</v>
      </c>
      <c r="B505">
        <v>2002</v>
      </c>
      <c r="C505" t="s">
        <v>80</v>
      </c>
      <c r="D505" t="s">
        <v>12</v>
      </c>
      <c r="E505" t="s">
        <v>96</v>
      </c>
      <c r="F505">
        <v>38</v>
      </c>
      <c r="G505">
        <v>312</v>
      </c>
      <c r="H505" t="s">
        <v>7</v>
      </c>
      <c r="I505">
        <v>8.5</v>
      </c>
      <c r="J505" t="b">
        <v>1</v>
      </c>
      <c r="K505" t="str">
        <f t="shared" si="7"/>
        <v>ras132002</v>
      </c>
      <c r="L505">
        <f>VLOOKUP(K505,BheightCalcs!I$1:M$429, 5, FALSE)</f>
        <v>2.6424499999999993</v>
      </c>
      <c r="M505">
        <f>VLOOKUP(A505, BheightCalcs!P$1:S$39, 4, FALSE)</f>
        <v>11</v>
      </c>
    </row>
    <row r="506" spans="1:13" x14ac:dyDescent="0.2">
      <c r="A506" t="s">
        <v>95</v>
      </c>
      <c r="B506">
        <v>2003</v>
      </c>
      <c r="C506" t="s">
        <v>80</v>
      </c>
      <c r="D506" t="s">
        <v>12</v>
      </c>
      <c r="E506" t="s">
        <v>96</v>
      </c>
      <c r="F506">
        <v>29</v>
      </c>
      <c r="G506">
        <v>330</v>
      </c>
      <c r="H506" t="s">
        <v>7</v>
      </c>
      <c r="I506">
        <v>8.5</v>
      </c>
      <c r="J506" t="b">
        <v>1</v>
      </c>
      <c r="K506" t="str">
        <f t="shared" si="7"/>
        <v>ras132003</v>
      </c>
      <c r="L506">
        <f>VLOOKUP(K506,BheightCalcs!I$1:M$429, 5, FALSE)</f>
        <v>3.1217499999999991</v>
      </c>
      <c r="M506">
        <f>VLOOKUP(A506, BheightCalcs!P$1:S$39, 4, FALSE)</f>
        <v>11</v>
      </c>
    </row>
    <row r="507" spans="1:13" x14ac:dyDescent="0.2">
      <c r="A507" t="s">
        <v>95</v>
      </c>
      <c r="B507">
        <v>2004</v>
      </c>
      <c r="C507" t="s">
        <v>80</v>
      </c>
      <c r="D507" t="s">
        <v>15</v>
      </c>
      <c r="E507" t="s">
        <v>97</v>
      </c>
      <c r="F507">
        <v>30</v>
      </c>
      <c r="G507">
        <v>297</v>
      </c>
      <c r="H507" t="s">
        <v>7</v>
      </c>
      <c r="I507">
        <v>8.5</v>
      </c>
      <c r="J507" t="b">
        <v>1</v>
      </c>
      <c r="K507" t="str">
        <f t="shared" si="7"/>
        <v>ras132004</v>
      </c>
      <c r="L507">
        <f>VLOOKUP(K507,BheightCalcs!I$1:M$429, 5, FALSE)</f>
        <v>3.6237999999999992</v>
      </c>
      <c r="M507">
        <f>VLOOKUP(A507, BheightCalcs!P$1:S$39, 4, FALSE)</f>
        <v>11</v>
      </c>
    </row>
    <row r="508" spans="1:13" x14ac:dyDescent="0.2">
      <c r="A508" t="s">
        <v>95</v>
      </c>
      <c r="B508">
        <v>2004</v>
      </c>
      <c r="C508" t="s">
        <v>80</v>
      </c>
      <c r="D508" t="s">
        <v>12</v>
      </c>
      <c r="E508" t="s">
        <v>96</v>
      </c>
      <c r="F508">
        <v>30</v>
      </c>
      <c r="G508">
        <v>297</v>
      </c>
      <c r="H508" t="s">
        <v>7</v>
      </c>
      <c r="I508">
        <v>8.5</v>
      </c>
      <c r="J508" t="b">
        <v>1</v>
      </c>
      <c r="K508" t="str">
        <f t="shared" si="7"/>
        <v>ras132004</v>
      </c>
      <c r="L508">
        <f>VLOOKUP(K508,BheightCalcs!I$1:M$429, 5, FALSE)</f>
        <v>3.6237999999999992</v>
      </c>
      <c r="M508">
        <f>VLOOKUP(A508, BheightCalcs!P$1:S$39, 4, FALSE)</f>
        <v>11</v>
      </c>
    </row>
    <row r="509" spans="1:13" x14ac:dyDescent="0.2">
      <c r="A509" t="s">
        <v>95</v>
      </c>
      <c r="B509">
        <v>2005</v>
      </c>
      <c r="C509" t="s">
        <v>80</v>
      </c>
      <c r="D509" t="s">
        <v>12</v>
      </c>
      <c r="E509" t="s">
        <v>96</v>
      </c>
      <c r="F509">
        <v>32</v>
      </c>
      <c r="G509">
        <v>306</v>
      </c>
      <c r="H509" t="s">
        <v>7</v>
      </c>
      <c r="I509">
        <v>8.5</v>
      </c>
      <c r="J509" t="b">
        <v>1</v>
      </c>
      <c r="K509" t="str">
        <f t="shared" si="7"/>
        <v>ras132005</v>
      </c>
      <c r="L509">
        <f>VLOOKUP(K509,BheightCalcs!I$1:M$429, 5, FALSE)</f>
        <v>4.1484999999999994</v>
      </c>
      <c r="M509">
        <f>VLOOKUP(A509, BheightCalcs!P$1:S$39, 4, FALSE)</f>
        <v>11</v>
      </c>
    </row>
    <row r="510" spans="1:13" x14ac:dyDescent="0.2">
      <c r="A510" t="s">
        <v>95</v>
      </c>
      <c r="B510">
        <v>2005</v>
      </c>
      <c r="C510" t="s">
        <v>80</v>
      </c>
      <c r="D510" t="s">
        <v>15</v>
      </c>
      <c r="E510" t="s">
        <v>97</v>
      </c>
      <c r="F510">
        <v>32</v>
      </c>
      <c r="G510">
        <v>306</v>
      </c>
      <c r="H510" t="s">
        <v>7</v>
      </c>
      <c r="I510">
        <v>8.5</v>
      </c>
      <c r="J510" t="b">
        <v>1</v>
      </c>
      <c r="K510" t="str">
        <f t="shared" si="7"/>
        <v>ras132005</v>
      </c>
      <c r="L510">
        <f>VLOOKUP(K510,BheightCalcs!I$1:M$429, 5, FALSE)</f>
        <v>4.1484999999999994</v>
      </c>
      <c r="M510">
        <f>VLOOKUP(A510, BheightCalcs!P$1:S$39, 4, FALSE)</f>
        <v>11</v>
      </c>
    </row>
    <row r="511" spans="1:13" x14ac:dyDescent="0.2">
      <c r="A511" t="s">
        <v>95</v>
      </c>
      <c r="B511">
        <v>2006</v>
      </c>
      <c r="C511" t="s">
        <v>80</v>
      </c>
      <c r="D511" t="s">
        <v>15</v>
      </c>
      <c r="E511" t="s">
        <v>97</v>
      </c>
      <c r="F511">
        <v>24</v>
      </c>
      <c r="G511">
        <v>320</v>
      </c>
      <c r="H511" t="s">
        <v>7</v>
      </c>
      <c r="I511">
        <v>8.5</v>
      </c>
      <c r="J511" t="b">
        <v>1</v>
      </c>
      <c r="K511" t="str">
        <f t="shared" si="7"/>
        <v>ras132006</v>
      </c>
      <c r="L511">
        <f>VLOOKUP(K511,BheightCalcs!I$1:M$429, 5, FALSE)</f>
        <v>4.5470499999999996</v>
      </c>
      <c r="M511">
        <f>VLOOKUP(A511, BheightCalcs!P$1:S$39, 4, FALSE)</f>
        <v>11</v>
      </c>
    </row>
    <row r="512" spans="1:13" x14ac:dyDescent="0.2">
      <c r="A512" t="s">
        <v>95</v>
      </c>
      <c r="B512">
        <v>2006</v>
      </c>
      <c r="C512" t="s">
        <v>80</v>
      </c>
      <c r="D512" t="s">
        <v>12</v>
      </c>
      <c r="E512" t="s">
        <v>96</v>
      </c>
      <c r="F512">
        <v>24</v>
      </c>
      <c r="G512">
        <v>320</v>
      </c>
      <c r="H512" t="s">
        <v>7</v>
      </c>
      <c r="I512">
        <v>8.5</v>
      </c>
      <c r="J512" t="b">
        <v>1</v>
      </c>
      <c r="K512" t="str">
        <f t="shared" si="7"/>
        <v>ras132006</v>
      </c>
      <c r="L512">
        <f>VLOOKUP(K512,BheightCalcs!I$1:M$429, 5, FALSE)</f>
        <v>4.5470499999999996</v>
      </c>
      <c r="M512">
        <f>VLOOKUP(A512, BheightCalcs!P$1:S$39, 4, FALSE)</f>
        <v>11</v>
      </c>
    </row>
    <row r="513" spans="1:13" x14ac:dyDescent="0.2">
      <c r="A513" t="s">
        <v>95</v>
      </c>
      <c r="B513">
        <v>2007</v>
      </c>
      <c r="C513" t="s">
        <v>80</v>
      </c>
      <c r="D513" t="s">
        <v>12</v>
      </c>
      <c r="E513" t="s">
        <v>96</v>
      </c>
      <c r="F513">
        <v>7</v>
      </c>
      <c r="G513">
        <v>314</v>
      </c>
      <c r="H513" t="s">
        <v>7</v>
      </c>
      <c r="I513">
        <v>8.5</v>
      </c>
      <c r="J513" t="b">
        <v>1</v>
      </c>
      <c r="K513" t="str">
        <f t="shared" si="7"/>
        <v>ras132007</v>
      </c>
      <c r="L513">
        <f>VLOOKUP(K513,BheightCalcs!I$1:M$429, 5, FALSE)</f>
        <v>5.0515999999999996</v>
      </c>
      <c r="M513">
        <f>VLOOKUP(A513, BheightCalcs!P$1:S$39, 4, FALSE)</f>
        <v>11</v>
      </c>
    </row>
    <row r="514" spans="1:13" x14ac:dyDescent="0.2">
      <c r="A514" t="s">
        <v>95</v>
      </c>
      <c r="B514">
        <v>2007</v>
      </c>
      <c r="C514" t="s">
        <v>80</v>
      </c>
      <c r="D514" t="s">
        <v>15</v>
      </c>
      <c r="E514" t="s">
        <v>97</v>
      </c>
      <c r="F514">
        <v>7</v>
      </c>
      <c r="G514">
        <v>314</v>
      </c>
      <c r="H514" t="s">
        <v>7</v>
      </c>
      <c r="I514">
        <v>8.5</v>
      </c>
      <c r="J514" t="b">
        <v>1</v>
      </c>
      <c r="K514" t="str">
        <f t="shared" si="7"/>
        <v>ras132007</v>
      </c>
      <c r="L514">
        <f>VLOOKUP(K514,BheightCalcs!I$1:M$429, 5, FALSE)</f>
        <v>5.0515999999999996</v>
      </c>
      <c r="M514">
        <f>VLOOKUP(A514, BheightCalcs!P$1:S$39, 4, FALSE)</f>
        <v>11</v>
      </c>
    </row>
    <row r="515" spans="1:13" x14ac:dyDescent="0.2">
      <c r="A515" t="s">
        <v>95</v>
      </c>
      <c r="B515">
        <v>2008</v>
      </c>
      <c r="C515" t="s">
        <v>80</v>
      </c>
      <c r="D515" t="s">
        <v>12</v>
      </c>
      <c r="E515" t="s">
        <v>96</v>
      </c>
      <c r="F515">
        <v>42</v>
      </c>
      <c r="G515">
        <v>299</v>
      </c>
      <c r="H515" t="s">
        <v>7</v>
      </c>
      <c r="I515">
        <v>8.5</v>
      </c>
      <c r="J515" t="b">
        <v>1</v>
      </c>
      <c r="K515" t="str">
        <f t="shared" ref="K515:K578" si="8">CONCATENATE(A515, B515)</f>
        <v>ras132008</v>
      </c>
      <c r="L515">
        <f>VLOOKUP(K515,BheightCalcs!I$1:M$429, 5, FALSE)</f>
        <v>5.5560999999999998</v>
      </c>
      <c r="M515">
        <f>VLOOKUP(A515, BheightCalcs!P$1:S$39, 4, FALSE)</f>
        <v>11</v>
      </c>
    </row>
    <row r="516" spans="1:13" x14ac:dyDescent="0.2">
      <c r="A516" t="s">
        <v>95</v>
      </c>
      <c r="B516">
        <v>2008</v>
      </c>
      <c r="C516" t="s">
        <v>80</v>
      </c>
      <c r="D516" t="s">
        <v>15</v>
      </c>
      <c r="E516" t="s">
        <v>97</v>
      </c>
      <c r="F516">
        <v>42</v>
      </c>
      <c r="G516">
        <v>299</v>
      </c>
      <c r="H516" t="s">
        <v>7</v>
      </c>
      <c r="I516">
        <v>8.5</v>
      </c>
      <c r="J516" t="b">
        <v>1</v>
      </c>
      <c r="K516" t="str">
        <f t="shared" si="8"/>
        <v>ras132008</v>
      </c>
      <c r="L516">
        <f>VLOOKUP(K516,BheightCalcs!I$1:M$429, 5, FALSE)</f>
        <v>5.5560999999999998</v>
      </c>
      <c r="M516">
        <f>VLOOKUP(A516, BheightCalcs!P$1:S$39, 4, FALSE)</f>
        <v>11</v>
      </c>
    </row>
    <row r="517" spans="1:13" x14ac:dyDescent="0.2">
      <c r="A517" t="s">
        <v>95</v>
      </c>
      <c r="B517">
        <v>2009</v>
      </c>
      <c r="C517" t="s">
        <v>80</v>
      </c>
      <c r="D517" t="s">
        <v>12</v>
      </c>
      <c r="E517" t="s">
        <v>96</v>
      </c>
      <c r="F517">
        <v>42</v>
      </c>
      <c r="G517">
        <v>341</v>
      </c>
      <c r="H517" t="s">
        <v>7</v>
      </c>
      <c r="I517">
        <v>8.5</v>
      </c>
      <c r="J517" t="b">
        <v>1</v>
      </c>
      <c r="K517" t="str">
        <f t="shared" si="8"/>
        <v>ras132009</v>
      </c>
      <c r="L517">
        <f>VLOOKUP(K517,BheightCalcs!I$1:M$429, 5, FALSE)</f>
        <v>5.8865999999999996</v>
      </c>
      <c r="M517">
        <f>VLOOKUP(A517, BheightCalcs!P$1:S$39, 4, FALSE)</f>
        <v>11</v>
      </c>
    </row>
    <row r="518" spans="1:13" x14ac:dyDescent="0.2">
      <c r="A518" t="s">
        <v>95</v>
      </c>
      <c r="B518">
        <v>2009</v>
      </c>
      <c r="C518" t="s">
        <v>80</v>
      </c>
      <c r="D518" t="s">
        <v>15</v>
      </c>
      <c r="E518" t="s">
        <v>97</v>
      </c>
      <c r="F518">
        <v>42</v>
      </c>
      <c r="G518">
        <v>341</v>
      </c>
      <c r="H518" t="s">
        <v>7</v>
      </c>
      <c r="I518">
        <v>8.5</v>
      </c>
      <c r="J518" t="b">
        <v>1</v>
      </c>
      <c r="K518" t="str">
        <f t="shared" si="8"/>
        <v>ras132009</v>
      </c>
      <c r="L518">
        <f>VLOOKUP(K518,BheightCalcs!I$1:M$429, 5, FALSE)</f>
        <v>5.8865999999999996</v>
      </c>
      <c r="M518">
        <f>VLOOKUP(A518, BheightCalcs!P$1:S$39, 4, FALSE)</f>
        <v>11</v>
      </c>
    </row>
    <row r="519" spans="1:13" x14ac:dyDescent="0.2">
      <c r="A519" t="s">
        <v>95</v>
      </c>
      <c r="B519">
        <v>2010</v>
      </c>
      <c r="C519" t="s">
        <v>80</v>
      </c>
      <c r="D519" t="s">
        <v>12</v>
      </c>
      <c r="E519" t="s">
        <v>96</v>
      </c>
      <c r="F519">
        <v>41</v>
      </c>
      <c r="G519">
        <v>296</v>
      </c>
      <c r="H519" t="s">
        <v>7</v>
      </c>
      <c r="I519">
        <v>8.5</v>
      </c>
      <c r="J519" t="b">
        <v>1</v>
      </c>
      <c r="K519" t="str">
        <f t="shared" si="8"/>
        <v>ras132010</v>
      </c>
      <c r="L519">
        <f>VLOOKUP(K519,BheightCalcs!I$1:M$429, 5, FALSE)</f>
        <v>6.5953999999999997</v>
      </c>
      <c r="M519">
        <f>VLOOKUP(A519, BheightCalcs!P$1:S$39, 4, FALSE)</f>
        <v>11</v>
      </c>
    </row>
    <row r="520" spans="1:13" x14ac:dyDescent="0.2">
      <c r="A520" t="s">
        <v>95</v>
      </c>
      <c r="B520">
        <v>2010</v>
      </c>
      <c r="C520" t="s">
        <v>80</v>
      </c>
      <c r="D520" t="s">
        <v>15</v>
      </c>
      <c r="E520" t="s">
        <v>97</v>
      </c>
      <c r="F520">
        <v>41</v>
      </c>
      <c r="G520">
        <v>296</v>
      </c>
      <c r="H520" t="s">
        <v>7</v>
      </c>
      <c r="I520">
        <v>8.5</v>
      </c>
      <c r="J520" t="b">
        <v>1</v>
      </c>
      <c r="K520" t="str">
        <f t="shared" si="8"/>
        <v>ras132010</v>
      </c>
      <c r="L520">
        <f>VLOOKUP(K520,BheightCalcs!I$1:M$429, 5, FALSE)</f>
        <v>6.5953999999999997</v>
      </c>
      <c r="M520">
        <f>VLOOKUP(A520, BheightCalcs!P$1:S$39, 4, FALSE)</f>
        <v>11</v>
      </c>
    </row>
    <row r="521" spans="1:13" x14ac:dyDescent="0.2">
      <c r="A521" t="s">
        <v>95</v>
      </c>
      <c r="B521">
        <v>2011</v>
      </c>
      <c r="C521" t="s">
        <v>80</v>
      </c>
      <c r="D521" t="s">
        <v>12</v>
      </c>
      <c r="E521" t="s">
        <v>96</v>
      </c>
      <c r="F521">
        <v>47</v>
      </c>
      <c r="G521">
        <v>337</v>
      </c>
      <c r="H521" t="s">
        <v>7</v>
      </c>
      <c r="I521">
        <v>8.5</v>
      </c>
      <c r="J521" t="b">
        <v>1</v>
      </c>
      <c r="K521" t="str">
        <f t="shared" si="8"/>
        <v>ras132011</v>
      </c>
      <c r="L521">
        <f>VLOOKUP(K521,BheightCalcs!I$1:M$429, 5, FALSE)</f>
        <v>7.2184999999999997</v>
      </c>
      <c r="M521">
        <f>VLOOKUP(A521, BheightCalcs!P$1:S$39, 4, FALSE)</f>
        <v>11</v>
      </c>
    </row>
    <row r="522" spans="1:13" x14ac:dyDescent="0.2">
      <c r="A522" t="s">
        <v>95</v>
      </c>
      <c r="B522">
        <v>2011</v>
      </c>
      <c r="C522" t="s">
        <v>80</v>
      </c>
      <c r="D522" t="s">
        <v>15</v>
      </c>
      <c r="E522" t="s">
        <v>97</v>
      </c>
      <c r="F522">
        <v>47</v>
      </c>
      <c r="G522">
        <v>337</v>
      </c>
      <c r="H522" t="s">
        <v>7</v>
      </c>
      <c r="I522">
        <v>8.5</v>
      </c>
      <c r="J522" t="b">
        <v>1</v>
      </c>
      <c r="K522" t="str">
        <f t="shared" si="8"/>
        <v>ras132011</v>
      </c>
      <c r="L522">
        <f>VLOOKUP(K522,BheightCalcs!I$1:M$429, 5, FALSE)</f>
        <v>7.2184999999999997</v>
      </c>
      <c r="M522">
        <f>VLOOKUP(A522, BheightCalcs!P$1:S$39, 4, FALSE)</f>
        <v>11</v>
      </c>
    </row>
    <row r="523" spans="1:13" x14ac:dyDescent="0.2">
      <c r="A523" t="s">
        <v>95</v>
      </c>
      <c r="B523">
        <v>2012</v>
      </c>
      <c r="C523" t="s">
        <v>80</v>
      </c>
      <c r="D523" t="s">
        <v>15</v>
      </c>
      <c r="E523" t="s">
        <v>97</v>
      </c>
      <c r="F523">
        <v>37</v>
      </c>
      <c r="G523">
        <v>323</v>
      </c>
      <c r="H523" t="s">
        <v>7</v>
      </c>
      <c r="I523">
        <v>8.5</v>
      </c>
      <c r="J523" t="b">
        <v>1</v>
      </c>
      <c r="K523" t="str">
        <f t="shared" si="8"/>
        <v>ras132012</v>
      </c>
      <c r="L523">
        <f>VLOOKUP(K523,BheightCalcs!I$1:M$429, 5, FALSE)</f>
        <v>7.81135</v>
      </c>
      <c r="M523">
        <f>VLOOKUP(A523, BheightCalcs!P$1:S$39, 4, FALSE)</f>
        <v>11</v>
      </c>
    </row>
    <row r="524" spans="1:13" x14ac:dyDescent="0.2">
      <c r="A524" t="s">
        <v>95</v>
      </c>
      <c r="B524">
        <v>2012</v>
      </c>
      <c r="C524" t="s">
        <v>80</v>
      </c>
      <c r="D524" t="s">
        <v>12</v>
      </c>
      <c r="E524" t="s">
        <v>96</v>
      </c>
      <c r="F524">
        <v>37</v>
      </c>
      <c r="G524">
        <v>323</v>
      </c>
      <c r="H524" t="s">
        <v>7</v>
      </c>
      <c r="I524">
        <v>8.5</v>
      </c>
      <c r="J524" t="b">
        <v>1</v>
      </c>
      <c r="K524" t="str">
        <f t="shared" si="8"/>
        <v>ras132012</v>
      </c>
      <c r="L524">
        <f>VLOOKUP(K524,BheightCalcs!I$1:M$429, 5, FALSE)</f>
        <v>7.81135</v>
      </c>
      <c r="M524">
        <f>VLOOKUP(A524, BheightCalcs!P$1:S$39, 4, FALSE)</f>
        <v>11</v>
      </c>
    </row>
    <row r="525" spans="1:13" x14ac:dyDescent="0.2">
      <c r="A525" t="s">
        <v>95</v>
      </c>
      <c r="B525">
        <v>2013</v>
      </c>
      <c r="C525" t="s">
        <v>80</v>
      </c>
      <c r="D525" t="s">
        <v>15</v>
      </c>
      <c r="E525" t="s">
        <v>97</v>
      </c>
      <c r="F525">
        <v>20</v>
      </c>
      <c r="G525">
        <v>287</v>
      </c>
      <c r="H525" t="s">
        <v>7</v>
      </c>
      <c r="I525">
        <v>8.5</v>
      </c>
      <c r="J525" t="b">
        <v>1</v>
      </c>
      <c r="K525" t="str">
        <f t="shared" si="8"/>
        <v>ras132013</v>
      </c>
      <c r="L525">
        <f>VLOOKUP(K525,BheightCalcs!I$1:M$429, 5, FALSE)</f>
        <v>8.5</v>
      </c>
      <c r="M525">
        <f>VLOOKUP(A525, BheightCalcs!P$1:S$39, 4, FALSE)</f>
        <v>11</v>
      </c>
    </row>
    <row r="526" spans="1:13" x14ac:dyDescent="0.2">
      <c r="A526" t="s">
        <v>95</v>
      </c>
      <c r="B526">
        <v>2013</v>
      </c>
      <c r="C526" t="s">
        <v>80</v>
      </c>
      <c r="D526" t="s">
        <v>12</v>
      </c>
      <c r="E526" t="s">
        <v>96</v>
      </c>
      <c r="F526">
        <v>20</v>
      </c>
      <c r="G526">
        <v>287</v>
      </c>
      <c r="H526" t="s">
        <v>7</v>
      </c>
      <c r="I526">
        <v>8.5</v>
      </c>
      <c r="J526" t="b">
        <v>1</v>
      </c>
      <c r="K526" t="str">
        <f t="shared" si="8"/>
        <v>ras132013</v>
      </c>
      <c r="L526">
        <f>VLOOKUP(K526,BheightCalcs!I$1:M$429, 5, FALSE)</f>
        <v>8.5</v>
      </c>
      <c r="M526">
        <f>VLOOKUP(A526, BheightCalcs!P$1:S$39, 4, FALSE)</f>
        <v>11</v>
      </c>
    </row>
    <row r="527" spans="1:13" x14ac:dyDescent="0.2">
      <c r="A527" t="s">
        <v>98</v>
      </c>
      <c r="B527">
        <v>2004</v>
      </c>
      <c r="C527" t="s">
        <v>80</v>
      </c>
      <c r="D527" t="s">
        <v>15</v>
      </c>
      <c r="E527" t="s">
        <v>100</v>
      </c>
      <c r="F527">
        <v>30</v>
      </c>
      <c r="G527">
        <v>297</v>
      </c>
      <c r="H527" t="s">
        <v>7</v>
      </c>
      <c r="I527">
        <v>6</v>
      </c>
      <c r="J527" t="b">
        <v>1</v>
      </c>
      <c r="K527" t="str">
        <f t="shared" si="8"/>
        <v>ras152004</v>
      </c>
      <c r="L527">
        <f>VLOOKUP(K527,BheightCalcs!I$1:M$429, 5, FALSE)</f>
        <v>1.4214500000000003</v>
      </c>
      <c r="M527">
        <f>VLOOKUP(A527, BheightCalcs!P$1:S$39, 4, FALSE)</f>
        <v>9</v>
      </c>
    </row>
    <row r="528" spans="1:13" x14ac:dyDescent="0.2">
      <c r="A528" t="s">
        <v>98</v>
      </c>
      <c r="B528">
        <v>2004</v>
      </c>
      <c r="C528" t="s">
        <v>80</v>
      </c>
      <c r="D528" t="s">
        <v>12</v>
      </c>
      <c r="E528" t="s">
        <v>99</v>
      </c>
      <c r="F528">
        <v>30</v>
      </c>
      <c r="G528">
        <v>297</v>
      </c>
      <c r="H528" t="s">
        <v>7</v>
      </c>
      <c r="I528">
        <v>6</v>
      </c>
      <c r="J528" t="b">
        <v>1</v>
      </c>
      <c r="K528" t="str">
        <f t="shared" si="8"/>
        <v>ras152004</v>
      </c>
      <c r="L528">
        <f>VLOOKUP(K528,BheightCalcs!I$1:M$429, 5, FALSE)</f>
        <v>1.4214500000000003</v>
      </c>
      <c r="M528">
        <f>VLOOKUP(A528, BheightCalcs!P$1:S$39, 4, FALSE)</f>
        <v>9</v>
      </c>
    </row>
    <row r="529" spans="1:13" x14ac:dyDescent="0.2">
      <c r="A529" t="s">
        <v>98</v>
      </c>
      <c r="B529">
        <v>2005</v>
      </c>
      <c r="C529" t="s">
        <v>80</v>
      </c>
      <c r="D529" t="s">
        <v>15</v>
      </c>
      <c r="E529" t="s">
        <v>100</v>
      </c>
      <c r="F529">
        <v>32</v>
      </c>
      <c r="G529">
        <v>306</v>
      </c>
      <c r="H529" t="s">
        <v>7</v>
      </c>
      <c r="I529">
        <v>6</v>
      </c>
      <c r="J529" t="b">
        <v>1</v>
      </c>
      <c r="K529" t="str">
        <f t="shared" si="8"/>
        <v>ras152005</v>
      </c>
      <c r="L529">
        <f>VLOOKUP(K529,BheightCalcs!I$1:M$429, 5, FALSE)</f>
        <v>2.1025500000000004</v>
      </c>
      <c r="M529">
        <f>VLOOKUP(A529, BheightCalcs!P$1:S$39, 4, FALSE)</f>
        <v>9</v>
      </c>
    </row>
    <row r="530" spans="1:13" x14ac:dyDescent="0.2">
      <c r="A530" t="s">
        <v>98</v>
      </c>
      <c r="B530">
        <v>2005</v>
      </c>
      <c r="C530" t="s">
        <v>80</v>
      </c>
      <c r="D530" t="s">
        <v>12</v>
      </c>
      <c r="E530" t="s">
        <v>99</v>
      </c>
      <c r="F530">
        <v>32</v>
      </c>
      <c r="G530">
        <v>306</v>
      </c>
      <c r="H530" t="s">
        <v>7</v>
      </c>
      <c r="I530">
        <v>6</v>
      </c>
      <c r="J530" t="b">
        <v>1</v>
      </c>
      <c r="K530" t="str">
        <f t="shared" si="8"/>
        <v>ras152005</v>
      </c>
      <c r="L530">
        <f>VLOOKUP(K530,BheightCalcs!I$1:M$429, 5, FALSE)</f>
        <v>2.1025500000000004</v>
      </c>
      <c r="M530">
        <f>VLOOKUP(A530, BheightCalcs!P$1:S$39, 4, FALSE)</f>
        <v>9</v>
      </c>
    </row>
    <row r="531" spans="1:13" x14ac:dyDescent="0.2">
      <c r="A531" t="s">
        <v>98</v>
      </c>
      <c r="B531">
        <v>2006</v>
      </c>
      <c r="C531" t="s">
        <v>80</v>
      </c>
      <c r="D531" t="s">
        <v>12</v>
      </c>
      <c r="E531" t="s">
        <v>99</v>
      </c>
      <c r="F531">
        <v>24</v>
      </c>
      <c r="G531">
        <v>320</v>
      </c>
      <c r="H531" t="s">
        <v>7</v>
      </c>
      <c r="I531">
        <v>6</v>
      </c>
      <c r="J531" t="b">
        <v>1</v>
      </c>
      <c r="K531" t="str">
        <f t="shared" si="8"/>
        <v>ras152006</v>
      </c>
      <c r="L531">
        <f>VLOOKUP(K531,BheightCalcs!I$1:M$429, 5, FALSE)</f>
        <v>2.5541000000000005</v>
      </c>
      <c r="M531">
        <f>VLOOKUP(A531, BheightCalcs!P$1:S$39, 4, FALSE)</f>
        <v>9</v>
      </c>
    </row>
    <row r="532" spans="1:13" x14ac:dyDescent="0.2">
      <c r="A532" t="s">
        <v>98</v>
      </c>
      <c r="B532">
        <v>2006</v>
      </c>
      <c r="C532" t="s">
        <v>80</v>
      </c>
      <c r="D532" t="s">
        <v>15</v>
      </c>
      <c r="E532" t="s">
        <v>100</v>
      </c>
      <c r="F532">
        <v>24</v>
      </c>
      <c r="G532">
        <v>320</v>
      </c>
      <c r="H532" t="s">
        <v>7</v>
      </c>
      <c r="I532">
        <v>6</v>
      </c>
      <c r="J532" t="b">
        <v>1</v>
      </c>
      <c r="K532" t="str">
        <f t="shared" si="8"/>
        <v>ras152006</v>
      </c>
      <c r="L532">
        <f>VLOOKUP(K532,BheightCalcs!I$1:M$429, 5, FALSE)</f>
        <v>2.5541000000000005</v>
      </c>
      <c r="M532">
        <f>VLOOKUP(A532, BheightCalcs!P$1:S$39, 4, FALSE)</f>
        <v>9</v>
      </c>
    </row>
    <row r="533" spans="1:13" x14ac:dyDescent="0.2">
      <c r="A533" t="s">
        <v>98</v>
      </c>
      <c r="B533">
        <v>2007</v>
      </c>
      <c r="C533" t="s">
        <v>80</v>
      </c>
      <c r="D533" t="s">
        <v>15</v>
      </c>
      <c r="E533" t="s">
        <v>100</v>
      </c>
      <c r="F533">
        <v>7</v>
      </c>
      <c r="G533">
        <v>314</v>
      </c>
      <c r="H533" t="s">
        <v>7</v>
      </c>
      <c r="I533">
        <v>6</v>
      </c>
      <c r="J533" t="b">
        <v>1</v>
      </c>
      <c r="K533" t="str">
        <f t="shared" si="8"/>
        <v>ras152007</v>
      </c>
      <c r="L533">
        <f>VLOOKUP(K533,BheightCalcs!I$1:M$429, 5, FALSE)</f>
        <v>2.8366500000000006</v>
      </c>
      <c r="M533">
        <f>VLOOKUP(A533, BheightCalcs!P$1:S$39, 4, FALSE)</f>
        <v>9</v>
      </c>
    </row>
    <row r="534" spans="1:13" x14ac:dyDescent="0.2">
      <c r="A534" t="s">
        <v>98</v>
      </c>
      <c r="B534">
        <v>2007</v>
      </c>
      <c r="C534" t="s">
        <v>80</v>
      </c>
      <c r="D534" t="s">
        <v>12</v>
      </c>
      <c r="E534" t="s">
        <v>99</v>
      </c>
      <c r="F534">
        <v>7</v>
      </c>
      <c r="G534">
        <v>314</v>
      </c>
      <c r="H534" t="s">
        <v>7</v>
      </c>
      <c r="I534">
        <v>6</v>
      </c>
      <c r="J534" t="b">
        <v>1</v>
      </c>
      <c r="K534" t="str">
        <f t="shared" si="8"/>
        <v>ras152007</v>
      </c>
      <c r="L534">
        <f>VLOOKUP(K534,BheightCalcs!I$1:M$429, 5, FALSE)</f>
        <v>2.8366500000000006</v>
      </c>
      <c r="M534">
        <f>VLOOKUP(A534, BheightCalcs!P$1:S$39, 4, FALSE)</f>
        <v>9</v>
      </c>
    </row>
    <row r="535" spans="1:13" x14ac:dyDescent="0.2">
      <c r="A535" t="s">
        <v>98</v>
      </c>
      <c r="B535">
        <v>2008</v>
      </c>
      <c r="C535" t="s">
        <v>80</v>
      </c>
      <c r="D535" t="s">
        <v>12</v>
      </c>
      <c r="E535" t="s">
        <v>99</v>
      </c>
      <c r="F535">
        <v>42</v>
      </c>
      <c r="G535">
        <v>299</v>
      </c>
      <c r="H535" t="s">
        <v>7</v>
      </c>
      <c r="I535">
        <v>6</v>
      </c>
      <c r="J535" t="b">
        <v>1</v>
      </c>
      <c r="K535" t="str">
        <f t="shared" si="8"/>
        <v>ras152008</v>
      </c>
      <c r="L535">
        <f>VLOOKUP(K535,BheightCalcs!I$1:M$429, 5, FALSE)</f>
        <v>3.3840500000000007</v>
      </c>
      <c r="M535">
        <f>VLOOKUP(A535, BheightCalcs!P$1:S$39, 4, FALSE)</f>
        <v>9</v>
      </c>
    </row>
    <row r="536" spans="1:13" x14ac:dyDescent="0.2">
      <c r="A536" t="s">
        <v>98</v>
      </c>
      <c r="B536">
        <v>2008</v>
      </c>
      <c r="C536" t="s">
        <v>80</v>
      </c>
      <c r="D536" t="s">
        <v>15</v>
      </c>
      <c r="E536" t="s">
        <v>100</v>
      </c>
      <c r="F536">
        <v>42</v>
      </c>
      <c r="G536">
        <v>299</v>
      </c>
      <c r="H536" t="s">
        <v>7</v>
      </c>
      <c r="I536">
        <v>6</v>
      </c>
      <c r="J536" t="b">
        <v>1</v>
      </c>
      <c r="K536" t="str">
        <f t="shared" si="8"/>
        <v>ras152008</v>
      </c>
      <c r="L536">
        <f>VLOOKUP(K536,BheightCalcs!I$1:M$429, 5, FALSE)</f>
        <v>3.3840500000000007</v>
      </c>
      <c r="M536">
        <f>VLOOKUP(A536, BheightCalcs!P$1:S$39, 4, FALSE)</f>
        <v>9</v>
      </c>
    </row>
    <row r="537" spans="1:13" x14ac:dyDescent="0.2">
      <c r="A537" t="s">
        <v>98</v>
      </c>
      <c r="B537">
        <v>2009</v>
      </c>
      <c r="C537" t="s">
        <v>80</v>
      </c>
      <c r="D537" t="s">
        <v>12</v>
      </c>
      <c r="E537" t="s">
        <v>99</v>
      </c>
      <c r="F537">
        <v>42</v>
      </c>
      <c r="G537">
        <v>341</v>
      </c>
      <c r="H537" t="s">
        <v>7</v>
      </c>
      <c r="I537">
        <v>6</v>
      </c>
      <c r="J537" t="b">
        <v>1</v>
      </c>
      <c r="K537" t="str">
        <f t="shared" si="8"/>
        <v>ras152009</v>
      </c>
      <c r="L537">
        <f>VLOOKUP(K537,BheightCalcs!I$1:M$429, 5, FALSE)</f>
        <v>3.9844500000000007</v>
      </c>
      <c r="M537">
        <f>VLOOKUP(A537, BheightCalcs!P$1:S$39, 4, FALSE)</f>
        <v>9</v>
      </c>
    </row>
    <row r="538" spans="1:13" x14ac:dyDescent="0.2">
      <c r="A538" t="s">
        <v>98</v>
      </c>
      <c r="B538">
        <v>2009</v>
      </c>
      <c r="C538" t="s">
        <v>80</v>
      </c>
      <c r="D538" t="s">
        <v>15</v>
      </c>
      <c r="E538" t="s">
        <v>100</v>
      </c>
      <c r="F538">
        <v>42</v>
      </c>
      <c r="G538">
        <v>341</v>
      </c>
      <c r="H538" t="s">
        <v>7</v>
      </c>
      <c r="I538">
        <v>6</v>
      </c>
      <c r="J538" t="b">
        <v>1</v>
      </c>
      <c r="K538" t="str">
        <f t="shared" si="8"/>
        <v>ras152009</v>
      </c>
      <c r="L538">
        <f>VLOOKUP(K538,BheightCalcs!I$1:M$429, 5, FALSE)</f>
        <v>3.9844500000000007</v>
      </c>
      <c r="M538">
        <f>VLOOKUP(A538, BheightCalcs!P$1:S$39, 4, FALSE)</f>
        <v>9</v>
      </c>
    </row>
    <row r="539" spans="1:13" x14ac:dyDescent="0.2">
      <c r="A539" t="s">
        <v>98</v>
      </c>
      <c r="B539">
        <v>2010</v>
      </c>
      <c r="C539" t="s">
        <v>80</v>
      </c>
      <c r="D539" t="s">
        <v>15</v>
      </c>
      <c r="E539" t="s">
        <v>100</v>
      </c>
      <c r="F539">
        <v>41</v>
      </c>
      <c r="G539">
        <v>296</v>
      </c>
      <c r="H539" t="s">
        <v>7</v>
      </c>
      <c r="I539">
        <v>6</v>
      </c>
      <c r="J539" t="b">
        <v>1</v>
      </c>
      <c r="K539" t="str">
        <f t="shared" si="8"/>
        <v>ras152010</v>
      </c>
      <c r="L539">
        <f>VLOOKUP(K539,BheightCalcs!I$1:M$429, 5, FALSE)</f>
        <v>4.7134500000000008</v>
      </c>
      <c r="M539">
        <f>VLOOKUP(A539, BheightCalcs!P$1:S$39, 4, FALSE)</f>
        <v>9</v>
      </c>
    </row>
    <row r="540" spans="1:13" x14ac:dyDescent="0.2">
      <c r="A540" t="s">
        <v>98</v>
      </c>
      <c r="B540">
        <v>2010</v>
      </c>
      <c r="C540" t="s">
        <v>80</v>
      </c>
      <c r="D540" t="s">
        <v>12</v>
      </c>
      <c r="E540" t="s">
        <v>99</v>
      </c>
      <c r="F540">
        <v>41</v>
      </c>
      <c r="G540">
        <v>296</v>
      </c>
      <c r="H540" t="s">
        <v>7</v>
      </c>
      <c r="I540">
        <v>6</v>
      </c>
      <c r="J540" t="b">
        <v>1</v>
      </c>
      <c r="K540" t="str">
        <f t="shared" si="8"/>
        <v>ras152010</v>
      </c>
      <c r="L540">
        <f>VLOOKUP(K540,BheightCalcs!I$1:M$429, 5, FALSE)</f>
        <v>4.7134500000000008</v>
      </c>
      <c r="M540">
        <f>VLOOKUP(A540, BheightCalcs!P$1:S$39, 4, FALSE)</f>
        <v>9</v>
      </c>
    </row>
    <row r="541" spans="1:13" x14ac:dyDescent="0.2">
      <c r="A541" t="s">
        <v>98</v>
      </c>
      <c r="B541">
        <v>2011</v>
      </c>
      <c r="C541" t="s">
        <v>80</v>
      </c>
      <c r="D541" t="s">
        <v>15</v>
      </c>
      <c r="E541" t="s">
        <v>100</v>
      </c>
      <c r="F541">
        <v>47</v>
      </c>
      <c r="G541">
        <v>337</v>
      </c>
      <c r="H541" t="s">
        <v>7</v>
      </c>
      <c r="I541">
        <v>6</v>
      </c>
      <c r="J541" t="b">
        <v>1</v>
      </c>
      <c r="K541" t="str">
        <f t="shared" si="8"/>
        <v>ras152011</v>
      </c>
      <c r="L541">
        <f>VLOOKUP(K541,BheightCalcs!I$1:M$429, 5, FALSE)</f>
        <v>5.1297000000000006</v>
      </c>
      <c r="M541">
        <f>VLOOKUP(A541, BheightCalcs!P$1:S$39, 4, FALSE)</f>
        <v>9</v>
      </c>
    </row>
    <row r="542" spans="1:13" x14ac:dyDescent="0.2">
      <c r="A542" t="s">
        <v>98</v>
      </c>
      <c r="B542">
        <v>2011</v>
      </c>
      <c r="C542" t="s">
        <v>80</v>
      </c>
      <c r="D542" t="s">
        <v>12</v>
      </c>
      <c r="E542" t="s">
        <v>99</v>
      </c>
      <c r="F542">
        <v>47</v>
      </c>
      <c r="G542">
        <v>337</v>
      </c>
      <c r="H542" t="s">
        <v>7</v>
      </c>
      <c r="I542">
        <v>6</v>
      </c>
      <c r="J542" t="b">
        <v>1</v>
      </c>
      <c r="K542" t="str">
        <f t="shared" si="8"/>
        <v>ras152011</v>
      </c>
      <c r="L542">
        <f>VLOOKUP(K542,BheightCalcs!I$1:M$429, 5, FALSE)</f>
        <v>5.1297000000000006</v>
      </c>
      <c r="M542">
        <f>VLOOKUP(A542, BheightCalcs!P$1:S$39, 4, FALSE)</f>
        <v>9</v>
      </c>
    </row>
    <row r="543" spans="1:13" x14ac:dyDescent="0.2">
      <c r="A543" t="s">
        <v>98</v>
      </c>
      <c r="B543">
        <v>2012</v>
      </c>
      <c r="C543" t="s">
        <v>80</v>
      </c>
      <c r="D543" t="s">
        <v>12</v>
      </c>
      <c r="E543" t="s">
        <v>99</v>
      </c>
      <c r="F543">
        <v>37</v>
      </c>
      <c r="G543">
        <v>323</v>
      </c>
      <c r="H543" t="s">
        <v>7</v>
      </c>
      <c r="I543">
        <v>6</v>
      </c>
      <c r="J543" t="b">
        <v>1</v>
      </c>
      <c r="K543" t="str">
        <f t="shared" si="8"/>
        <v>ras152012</v>
      </c>
      <c r="L543">
        <f>VLOOKUP(K543,BheightCalcs!I$1:M$429, 5, FALSE)</f>
        <v>5.5711500000000003</v>
      </c>
      <c r="M543">
        <f>VLOOKUP(A543, BheightCalcs!P$1:S$39, 4, FALSE)</f>
        <v>9</v>
      </c>
    </row>
    <row r="544" spans="1:13" x14ac:dyDescent="0.2">
      <c r="A544" t="s">
        <v>98</v>
      </c>
      <c r="B544">
        <v>2012</v>
      </c>
      <c r="C544" t="s">
        <v>80</v>
      </c>
      <c r="D544" t="s">
        <v>15</v>
      </c>
      <c r="E544" t="s">
        <v>100</v>
      </c>
      <c r="F544">
        <v>37</v>
      </c>
      <c r="G544">
        <v>323</v>
      </c>
      <c r="H544" t="s">
        <v>7</v>
      </c>
      <c r="I544">
        <v>6</v>
      </c>
      <c r="J544" t="b">
        <v>1</v>
      </c>
      <c r="K544" t="str">
        <f t="shared" si="8"/>
        <v>ras152012</v>
      </c>
      <c r="L544">
        <f>VLOOKUP(K544,BheightCalcs!I$1:M$429, 5, FALSE)</f>
        <v>5.5711500000000003</v>
      </c>
      <c r="M544">
        <f>VLOOKUP(A544, BheightCalcs!P$1:S$39, 4, FALSE)</f>
        <v>9</v>
      </c>
    </row>
    <row r="545" spans="1:13" x14ac:dyDescent="0.2">
      <c r="A545" t="s">
        <v>98</v>
      </c>
      <c r="B545">
        <v>2013</v>
      </c>
      <c r="C545" t="s">
        <v>80</v>
      </c>
      <c r="D545" t="s">
        <v>15</v>
      </c>
      <c r="E545" t="s">
        <v>100</v>
      </c>
      <c r="F545">
        <v>20</v>
      </c>
      <c r="G545">
        <v>287</v>
      </c>
      <c r="H545" t="s">
        <v>7</v>
      </c>
      <c r="I545">
        <v>6</v>
      </c>
      <c r="J545" t="b">
        <v>1</v>
      </c>
      <c r="K545" t="str">
        <f t="shared" si="8"/>
        <v>ras152013</v>
      </c>
      <c r="L545">
        <f>VLOOKUP(K545,BheightCalcs!I$1:M$429, 5, FALSE)</f>
        <v>6</v>
      </c>
      <c r="M545">
        <f>VLOOKUP(A545, BheightCalcs!P$1:S$39, 4, FALSE)</f>
        <v>9</v>
      </c>
    </row>
    <row r="546" spans="1:13" x14ac:dyDescent="0.2">
      <c r="A546" t="s">
        <v>98</v>
      </c>
      <c r="B546">
        <v>2013</v>
      </c>
      <c r="C546" t="s">
        <v>80</v>
      </c>
      <c r="D546" t="s">
        <v>12</v>
      </c>
      <c r="E546" t="s">
        <v>99</v>
      </c>
      <c r="F546">
        <v>20</v>
      </c>
      <c r="G546">
        <v>287</v>
      </c>
      <c r="H546" t="s">
        <v>7</v>
      </c>
      <c r="I546">
        <v>6</v>
      </c>
      <c r="J546" t="b">
        <v>1</v>
      </c>
      <c r="K546" t="str">
        <f t="shared" si="8"/>
        <v>ras152013</v>
      </c>
      <c r="L546">
        <f>VLOOKUP(K546,BheightCalcs!I$1:M$429, 5, FALSE)</f>
        <v>6</v>
      </c>
      <c r="M546">
        <f>VLOOKUP(A546, BheightCalcs!P$1:S$39, 4, FALSE)</f>
        <v>9</v>
      </c>
    </row>
    <row r="547" spans="1:13" x14ac:dyDescent="0.2">
      <c r="A547" t="s">
        <v>101</v>
      </c>
      <c r="B547">
        <v>2003</v>
      </c>
      <c r="C547" t="s">
        <v>80</v>
      </c>
      <c r="D547" t="s">
        <v>12</v>
      </c>
      <c r="E547" t="s">
        <v>103</v>
      </c>
      <c r="F547">
        <v>29</v>
      </c>
      <c r="G547">
        <v>330</v>
      </c>
      <c r="H547" t="s">
        <v>7</v>
      </c>
      <c r="I547">
        <v>7</v>
      </c>
      <c r="J547" t="b">
        <v>1</v>
      </c>
      <c r="K547" t="str">
        <f t="shared" si="8"/>
        <v>ras162003</v>
      </c>
      <c r="L547">
        <f>VLOOKUP(K547,BheightCalcs!I$1:M$429, 5, FALSE)</f>
        <v>1.8891499999999994</v>
      </c>
      <c r="M547">
        <f>VLOOKUP(A547, BheightCalcs!P$1:S$39, 4, FALSE)</f>
        <v>10</v>
      </c>
    </row>
    <row r="548" spans="1:13" x14ac:dyDescent="0.2">
      <c r="A548" t="s">
        <v>101</v>
      </c>
      <c r="B548">
        <v>2003</v>
      </c>
      <c r="C548" t="s">
        <v>80</v>
      </c>
      <c r="D548" t="s">
        <v>15</v>
      </c>
      <c r="E548" t="s">
        <v>102</v>
      </c>
      <c r="F548">
        <v>29</v>
      </c>
      <c r="G548">
        <v>330</v>
      </c>
      <c r="H548" t="s">
        <v>7</v>
      </c>
      <c r="I548">
        <v>7</v>
      </c>
      <c r="J548" t="b">
        <v>1</v>
      </c>
      <c r="K548" t="str">
        <f t="shared" si="8"/>
        <v>ras162003</v>
      </c>
      <c r="L548">
        <f>VLOOKUP(K548,BheightCalcs!I$1:M$429, 5, FALSE)</f>
        <v>1.8891499999999994</v>
      </c>
      <c r="M548">
        <f>VLOOKUP(A548, BheightCalcs!P$1:S$39, 4, FALSE)</f>
        <v>10</v>
      </c>
    </row>
    <row r="549" spans="1:13" x14ac:dyDescent="0.2">
      <c r="A549" t="s">
        <v>101</v>
      </c>
      <c r="B549">
        <v>2004</v>
      </c>
      <c r="C549" t="s">
        <v>80</v>
      </c>
      <c r="D549" t="s">
        <v>12</v>
      </c>
      <c r="E549" t="s">
        <v>103</v>
      </c>
      <c r="F549">
        <v>30</v>
      </c>
      <c r="G549">
        <v>297</v>
      </c>
      <c r="H549" t="s">
        <v>7</v>
      </c>
      <c r="I549">
        <v>7</v>
      </c>
      <c r="J549" t="b">
        <v>1</v>
      </c>
      <c r="K549" t="str">
        <f t="shared" si="8"/>
        <v>ras162004</v>
      </c>
      <c r="L549">
        <f>VLOOKUP(K549,BheightCalcs!I$1:M$429, 5, FALSE)</f>
        <v>2.3709999999999996</v>
      </c>
      <c r="M549">
        <f>VLOOKUP(A549, BheightCalcs!P$1:S$39, 4, FALSE)</f>
        <v>10</v>
      </c>
    </row>
    <row r="550" spans="1:13" x14ac:dyDescent="0.2">
      <c r="A550" t="s">
        <v>101</v>
      </c>
      <c r="B550">
        <v>2004</v>
      </c>
      <c r="C550" t="s">
        <v>80</v>
      </c>
      <c r="D550" t="s">
        <v>15</v>
      </c>
      <c r="E550" t="s">
        <v>102</v>
      </c>
      <c r="F550">
        <v>30</v>
      </c>
      <c r="G550">
        <v>297</v>
      </c>
      <c r="H550" t="s">
        <v>7</v>
      </c>
      <c r="I550">
        <v>7</v>
      </c>
      <c r="J550" t="b">
        <v>1</v>
      </c>
      <c r="K550" t="str">
        <f t="shared" si="8"/>
        <v>ras162004</v>
      </c>
      <c r="L550">
        <f>VLOOKUP(K550,BheightCalcs!I$1:M$429, 5, FALSE)</f>
        <v>2.3709999999999996</v>
      </c>
      <c r="M550">
        <f>VLOOKUP(A550, BheightCalcs!P$1:S$39, 4, FALSE)</f>
        <v>10</v>
      </c>
    </row>
    <row r="551" spans="1:13" x14ac:dyDescent="0.2">
      <c r="A551" t="s">
        <v>101</v>
      </c>
      <c r="B551">
        <v>2005</v>
      </c>
      <c r="C551" t="s">
        <v>80</v>
      </c>
      <c r="D551" t="s">
        <v>15</v>
      </c>
      <c r="E551" t="s">
        <v>102</v>
      </c>
      <c r="F551">
        <v>32</v>
      </c>
      <c r="G551">
        <v>306</v>
      </c>
      <c r="H551" t="s">
        <v>7</v>
      </c>
      <c r="I551">
        <v>7</v>
      </c>
      <c r="J551" t="b">
        <v>1</v>
      </c>
      <c r="K551" t="str">
        <f t="shared" si="8"/>
        <v>ras162005</v>
      </c>
      <c r="L551">
        <f>VLOOKUP(K551,BheightCalcs!I$1:M$429, 5, FALSE)</f>
        <v>2.9284999999999997</v>
      </c>
      <c r="M551">
        <f>VLOOKUP(A551, BheightCalcs!P$1:S$39, 4, FALSE)</f>
        <v>10</v>
      </c>
    </row>
    <row r="552" spans="1:13" x14ac:dyDescent="0.2">
      <c r="A552" t="s">
        <v>101</v>
      </c>
      <c r="B552">
        <v>2005</v>
      </c>
      <c r="C552" t="s">
        <v>80</v>
      </c>
      <c r="D552" t="s">
        <v>12</v>
      </c>
      <c r="E552" t="s">
        <v>103</v>
      </c>
      <c r="F552">
        <v>32</v>
      </c>
      <c r="G552">
        <v>306</v>
      </c>
      <c r="H552" t="s">
        <v>7</v>
      </c>
      <c r="I552">
        <v>7</v>
      </c>
      <c r="J552" t="b">
        <v>1</v>
      </c>
      <c r="K552" t="str">
        <f t="shared" si="8"/>
        <v>ras162005</v>
      </c>
      <c r="L552">
        <f>VLOOKUP(K552,BheightCalcs!I$1:M$429, 5, FALSE)</f>
        <v>2.9284999999999997</v>
      </c>
      <c r="M552">
        <f>VLOOKUP(A552, BheightCalcs!P$1:S$39, 4, FALSE)</f>
        <v>10</v>
      </c>
    </row>
    <row r="553" spans="1:13" x14ac:dyDescent="0.2">
      <c r="A553" t="s">
        <v>101</v>
      </c>
      <c r="B553">
        <v>2006</v>
      </c>
      <c r="C553" t="s">
        <v>80</v>
      </c>
      <c r="D553" t="s">
        <v>12</v>
      </c>
      <c r="E553" t="s">
        <v>103</v>
      </c>
      <c r="F553">
        <v>24</v>
      </c>
      <c r="G553">
        <v>320</v>
      </c>
      <c r="H553" t="s">
        <v>7</v>
      </c>
      <c r="I553">
        <v>7</v>
      </c>
      <c r="J553" t="b">
        <v>1</v>
      </c>
      <c r="K553" t="str">
        <f t="shared" si="8"/>
        <v>ras162006</v>
      </c>
      <c r="L553">
        <f>VLOOKUP(K553,BheightCalcs!I$1:M$429, 5, FALSE)</f>
        <v>3.5439999999999996</v>
      </c>
      <c r="M553">
        <f>VLOOKUP(A553, BheightCalcs!P$1:S$39, 4, FALSE)</f>
        <v>10</v>
      </c>
    </row>
    <row r="554" spans="1:13" x14ac:dyDescent="0.2">
      <c r="A554" t="s">
        <v>101</v>
      </c>
      <c r="B554">
        <v>2006</v>
      </c>
      <c r="C554" t="s">
        <v>80</v>
      </c>
      <c r="D554" t="s">
        <v>15</v>
      </c>
      <c r="E554" t="s">
        <v>102</v>
      </c>
      <c r="F554">
        <v>24</v>
      </c>
      <c r="G554">
        <v>320</v>
      </c>
      <c r="H554" t="s">
        <v>7</v>
      </c>
      <c r="I554">
        <v>7</v>
      </c>
      <c r="J554" t="b">
        <v>1</v>
      </c>
      <c r="K554" t="str">
        <f t="shared" si="8"/>
        <v>ras162006</v>
      </c>
      <c r="L554">
        <f>VLOOKUP(K554,BheightCalcs!I$1:M$429, 5, FALSE)</f>
        <v>3.5439999999999996</v>
      </c>
      <c r="M554">
        <f>VLOOKUP(A554, BheightCalcs!P$1:S$39, 4, FALSE)</f>
        <v>10</v>
      </c>
    </row>
    <row r="555" spans="1:13" x14ac:dyDescent="0.2">
      <c r="A555" t="s">
        <v>101</v>
      </c>
      <c r="B555">
        <v>2007</v>
      </c>
      <c r="C555" t="s">
        <v>80</v>
      </c>
      <c r="D555" t="s">
        <v>12</v>
      </c>
      <c r="E555" t="s">
        <v>103</v>
      </c>
      <c r="F555">
        <v>7</v>
      </c>
      <c r="G555">
        <v>314</v>
      </c>
      <c r="H555" t="s">
        <v>7</v>
      </c>
      <c r="I555">
        <v>7</v>
      </c>
      <c r="J555" t="b">
        <v>1</v>
      </c>
      <c r="K555" t="str">
        <f t="shared" si="8"/>
        <v>ras162007</v>
      </c>
      <c r="L555">
        <f>VLOOKUP(K555,BheightCalcs!I$1:M$429, 5, FALSE)</f>
        <v>4.1090499999999999</v>
      </c>
      <c r="M555">
        <f>VLOOKUP(A555, BheightCalcs!P$1:S$39, 4, FALSE)</f>
        <v>10</v>
      </c>
    </row>
    <row r="556" spans="1:13" x14ac:dyDescent="0.2">
      <c r="A556" t="s">
        <v>101</v>
      </c>
      <c r="B556">
        <v>2007</v>
      </c>
      <c r="C556" t="s">
        <v>80</v>
      </c>
      <c r="D556" t="s">
        <v>15</v>
      </c>
      <c r="E556" t="s">
        <v>102</v>
      </c>
      <c r="F556">
        <v>7</v>
      </c>
      <c r="G556">
        <v>314</v>
      </c>
      <c r="H556" t="s">
        <v>7</v>
      </c>
      <c r="I556">
        <v>7</v>
      </c>
      <c r="J556" t="b">
        <v>1</v>
      </c>
      <c r="K556" t="str">
        <f t="shared" si="8"/>
        <v>ras162007</v>
      </c>
      <c r="L556">
        <f>VLOOKUP(K556,BheightCalcs!I$1:M$429, 5, FALSE)</f>
        <v>4.1090499999999999</v>
      </c>
      <c r="M556">
        <f>VLOOKUP(A556, BheightCalcs!P$1:S$39, 4, FALSE)</f>
        <v>10</v>
      </c>
    </row>
    <row r="557" spans="1:13" x14ac:dyDescent="0.2">
      <c r="A557" t="s">
        <v>101</v>
      </c>
      <c r="B557">
        <v>2008</v>
      </c>
      <c r="C557" t="s">
        <v>80</v>
      </c>
      <c r="D557" t="s">
        <v>15</v>
      </c>
      <c r="E557" t="s">
        <v>102</v>
      </c>
      <c r="F557">
        <v>42</v>
      </c>
      <c r="G557">
        <v>299</v>
      </c>
      <c r="H557" t="s">
        <v>7</v>
      </c>
      <c r="I557">
        <v>7</v>
      </c>
      <c r="J557" t="b">
        <v>1</v>
      </c>
      <c r="K557" t="str">
        <f t="shared" si="8"/>
        <v>ras162008</v>
      </c>
      <c r="L557">
        <f>VLOOKUP(K557,BheightCalcs!I$1:M$429, 5, FALSE)</f>
        <v>4.4218500000000001</v>
      </c>
      <c r="M557">
        <f>VLOOKUP(A557, BheightCalcs!P$1:S$39, 4, FALSE)</f>
        <v>10</v>
      </c>
    </row>
    <row r="558" spans="1:13" x14ac:dyDescent="0.2">
      <c r="A558" t="s">
        <v>101</v>
      </c>
      <c r="B558">
        <v>2008</v>
      </c>
      <c r="C558" t="s">
        <v>80</v>
      </c>
      <c r="D558" t="s">
        <v>12</v>
      </c>
      <c r="E558" t="s">
        <v>103</v>
      </c>
      <c r="F558">
        <v>42</v>
      </c>
      <c r="G558">
        <v>299</v>
      </c>
      <c r="H558" t="s">
        <v>7</v>
      </c>
      <c r="I558">
        <v>7</v>
      </c>
      <c r="J558" t="b">
        <v>1</v>
      </c>
      <c r="K558" t="str">
        <f t="shared" si="8"/>
        <v>ras162008</v>
      </c>
      <c r="L558">
        <f>VLOOKUP(K558,BheightCalcs!I$1:M$429, 5, FALSE)</f>
        <v>4.4218500000000001</v>
      </c>
      <c r="M558">
        <f>VLOOKUP(A558, BheightCalcs!P$1:S$39, 4, FALSE)</f>
        <v>10</v>
      </c>
    </row>
    <row r="559" spans="1:13" x14ac:dyDescent="0.2">
      <c r="A559" t="s">
        <v>101</v>
      </c>
      <c r="B559">
        <v>2009</v>
      </c>
      <c r="C559" t="s">
        <v>80</v>
      </c>
      <c r="D559" t="s">
        <v>15</v>
      </c>
      <c r="E559" t="s">
        <v>102</v>
      </c>
      <c r="F559">
        <v>42</v>
      </c>
      <c r="G559">
        <v>341</v>
      </c>
      <c r="H559" t="s">
        <v>7</v>
      </c>
      <c r="I559">
        <v>7</v>
      </c>
      <c r="J559" t="b">
        <v>1</v>
      </c>
      <c r="K559" t="str">
        <f t="shared" si="8"/>
        <v>ras162009</v>
      </c>
      <c r="L559">
        <f>VLOOKUP(K559,BheightCalcs!I$1:M$429, 5, FALSE)</f>
        <v>4.8406000000000002</v>
      </c>
      <c r="M559">
        <f>VLOOKUP(A559, BheightCalcs!P$1:S$39, 4, FALSE)</f>
        <v>10</v>
      </c>
    </row>
    <row r="560" spans="1:13" x14ac:dyDescent="0.2">
      <c r="A560" t="s">
        <v>101</v>
      </c>
      <c r="B560">
        <v>2009</v>
      </c>
      <c r="C560" t="s">
        <v>80</v>
      </c>
      <c r="D560" t="s">
        <v>12</v>
      </c>
      <c r="E560" t="s">
        <v>103</v>
      </c>
      <c r="F560">
        <v>42</v>
      </c>
      <c r="G560">
        <v>341</v>
      </c>
      <c r="H560" t="s">
        <v>7</v>
      </c>
      <c r="I560">
        <v>7</v>
      </c>
      <c r="J560" t="b">
        <v>1</v>
      </c>
      <c r="K560" t="str">
        <f t="shared" si="8"/>
        <v>ras162009</v>
      </c>
      <c r="L560">
        <f>VLOOKUP(K560,BheightCalcs!I$1:M$429, 5, FALSE)</f>
        <v>4.8406000000000002</v>
      </c>
      <c r="M560">
        <f>VLOOKUP(A560, BheightCalcs!P$1:S$39, 4, FALSE)</f>
        <v>10</v>
      </c>
    </row>
    <row r="561" spans="1:13" x14ac:dyDescent="0.2">
      <c r="A561" t="s">
        <v>101</v>
      </c>
      <c r="B561">
        <v>2010</v>
      </c>
      <c r="C561" t="s">
        <v>80</v>
      </c>
      <c r="D561" t="s">
        <v>15</v>
      </c>
      <c r="E561" t="s">
        <v>102</v>
      </c>
      <c r="F561">
        <v>41</v>
      </c>
      <c r="G561">
        <v>296</v>
      </c>
      <c r="H561" t="s">
        <v>7</v>
      </c>
      <c r="I561">
        <v>7</v>
      </c>
      <c r="J561" t="b">
        <v>1</v>
      </c>
      <c r="K561" t="str">
        <f t="shared" si="8"/>
        <v>ras162010</v>
      </c>
      <c r="L561">
        <f>VLOOKUP(K561,BheightCalcs!I$1:M$429, 5, FALSE)</f>
        <v>5.5116500000000004</v>
      </c>
      <c r="M561">
        <f>VLOOKUP(A561, BheightCalcs!P$1:S$39, 4, FALSE)</f>
        <v>10</v>
      </c>
    </row>
    <row r="562" spans="1:13" x14ac:dyDescent="0.2">
      <c r="A562" t="s">
        <v>101</v>
      </c>
      <c r="B562">
        <v>2010</v>
      </c>
      <c r="C562" t="s">
        <v>80</v>
      </c>
      <c r="D562" t="s">
        <v>12</v>
      </c>
      <c r="E562" t="s">
        <v>103</v>
      </c>
      <c r="F562">
        <v>41</v>
      </c>
      <c r="G562">
        <v>296</v>
      </c>
      <c r="H562" t="s">
        <v>7</v>
      </c>
      <c r="I562">
        <v>7</v>
      </c>
      <c r="J562" t="b">
        <v>1</v>
      </c>
      <c r="K562" t="str">
        <f t="shared" si="8"/>
        <v>ras162010</v>
      </c>
      <c r="L562">
        <f>VLOOKUP(K562,BheightCalcs!I$1:M$429, 5, FALSE)</f>
        <v>5.5116500000000004</v>
      </c>
      <c r="M562">
        <f>VLOOKUP(A562, BheightCalcs!P$1:S$39, 4, FALSE)</f>
        <v>10</v>
      </c>
    </row>
    <row r="563" spans="1:13" x14ac:dyDescent="0.2">
      <c r="A563" t="s">
        <v>101</v>
      </c>
      <c r="B563">
        <v>2011</v>
      </c>
      <c r="C563" t="s">
        <v>80</v>
      </c>
      <c r="D563" t="s">
        <v>12</v>
      </c>
      <c r="E563" t="s">
        <v>103</v>
      </c>
      <c r="F563">
        <v>47</v>
      </c>
      <c r="G563">
        <v>337</v>
      </c>
      <c r="H563" t="s">
        <v>7</v>
      </c>
      <c r="I563">
        <v>7</v>
      </c>
      <c r="J563" t="b">
        <v>1</v>
      </c>
      <c r="K563" t="str">
        <f t="shared" si="8"/>
        <v>ras162011</v>
      </c>
      <c r="L563">
        <f>VLOOKUP(K563,BheightCalcs!I$1:M$429, 5, FALSE)</f>
        <v>6.1523500000000002</v>
      </c>
      <c r="M563">
        <f>VLOOKUP(A563, BheightCalcs!P$1:S$39, 4, FALSE)</f>
        <v>10</v>
      </c>
    </row>
    <row r="564" spans="1:13" x14ac:dyDescent="0.2">
      <c r="A564" t="s">
        <v>101</v>
      </c>
      <c r="B564">
        <v>2011</v>
      </c>
      <c r="C564" t="s">
        <v>80</v>
      </c>
      <c r="D564" t="s">
        <v>15</v>
      </c>
      <c r="E564" t="s">
        <v>102</v>
      </c>
      <c r="F564">
        <v>47</v>
      </c>
      <c r="G564">
        <v>337</v>
      </c>
      <c r="H564" t="s">
        <v>7</v>
      </c>
      <c r="I564">
        <v>7</v>
      </c>
      <c r="J564" t="b">
        <v>1</v>
      </c>
      <c r="K564" t="str">
        <f t="shared" si="8"/>
        <v>ras162011</v>
      </c>
      <c r="L564">
        <f>VLOOKUP(K564,BheightCalcs!I$1:M$429, 5, FALSE)</f>
        <v>6.1523500000000002</v>
      </c>
      <c r="M564">
        <f>VLOOKUP(A564, BheightCalcs!P$1:S$39, 4, FALSE)</f>
        <v>10</v>
      </c>
    </row>
    <row r="565" spans="1:13" x14ac:dyDescent="0.2">
      <c r="A565" t="s">
        <v>101</v>
      </c>
      <c r="B565">
        <v>2012</v>
      </c>
      <c r="C565" t="s">
        <v>80</v>
      </c>
      <c r="D565" t="s">
        <v>12</v>
      </c>
      <c r="E565" t="s">
        <v>103</v>
      </c>
      <c r="F565">
        <v>37</v>
      </c>
      <c r="G565">
        <v>323</v>
      </c>
      <c r="H565" t="s">
        <v>7</v>
      </c>
      <c r="I565">
        <v>7</v>
      </c>
      <c r="J565" t="b">
        <v>1</v>
      </c>
      <c r="K565" t="str">
        <f t="shared" si="8"/>
        <v>ras162012</v>
      </c>
      <c r="L565">
        <f>VLOOKUP(K565,BheightCalcs!I$1:M$429, 5, FALSE)</f>
        <v>6.64175</v>
      </c>
      <c r="M565">
        <f>VLOOKUP(A565, BheightCalcs!P$1:S$39, 4, FALSE)</f>
        <v>10</v>
      </c>
    </row>
    <row r="566" spans="1:13" x14ac:dyDescent="0.2">
      <c r="A566" t="s">
        <v>101</v>
      </c>
      <c r="B566">
        <v>2012</v>
      </c>
      <c r="C566" t="s">
        <v>80</v>
      </c>
      <c r="D566" t="s">
        <v>15</v>
      </c>
      <c r="E566" t="s">
        <v>102</v>
      </c>
      <c r="F566">
        <v>37</v>
      </c>
      <c r="G566">
        <v>323</v>
      </c>
      <c r="H566" t="s">
        <v>7</v>
      </c>
      <c r="I566">
        <v>7</v>
      </c>
      <c r="J566" t="b">
        <v>1</v>
      </c>
      <c r="K566" t="str">
        <f t="shared" si="8"/>
        <v>ras162012</v>
      </c>
      <c r="L566">
        <f>VLOOKUP(K566,BheightCalcs!I$1:M$429, 5, FALSE)</f>
        <v>6.64175</v>
      </c>
      <c r="M566">
        <f>VLOOKUP(A566, BheightCalcs!P$1:S$39, 4, FALSE)</f>
        <v>10</v>
      </c>
    </row>
    <row r="567" spans="1:13" x14ac:dyDescent="0.2">
      <c r="A567" t="s">
        <v>101</v>
      </c>
      <c r="B567">
        <v>2013</v>
      </c>
      <c r="C567" t="s">
        <v>80</v>
      </c>
      <c r="D567" t="s">
        <v>12</v>
      </c>
      <c r="E567" t="s">
        <v>103</v>
      </c>
      <c r="F567">
        <v>20</v>
      </c>
      <c r="G567">
        <v>287</v>
      </c>
      <c r="H567" t="s">
        <v>7</v>
      </c>
      <c r="I567">
        <v>7</v>
      </c>
      <c r="J567" t="b">
        <v>1</v>
      </c>
      <c r="K567" t="str">
        <f t="shared" si="8"/>
        <v>ras162013</v>
      </c>
      <c r="L567">
        <f>VLOOKUP(K567,BheightCalcs!I$1:M$429, 5, FALSE)</f>
        <v>7</v>
      </c>
      <c r="M567">
        <f>VLOOKUP(A567, BheightCalcs!P$1:S$39, 4, FALSE)</f>
        <v>10</v>
      </c>
    </row>
    <row r="568" spans="1:13" x14ac:dyDescent="0.2">
      <c r="A568" t="s">
        <v>101</v>
      </c>
      <c r="B568">
        <v>2013</v>
      </c>
      <c r="C568" t="s">
        <v>80</v>
      </c>
      <c r="D568" t="s">
        <v>15</v>
      </c>
      <c r="E568" t="s">
        <v>102</v>
      </c>
      <c r="F568">
        <v>20</v>
      </c>
      <c r="G568">
        <v>287</v>
      </c>
      <c r="H568" t="s">
        <v>7</v>
      </c>
      <c r="I568">
        <v>7</v>
      </c>
      <c r="J568" t="b">
        <v>1</v>
      </c>
      <c r="K568" t="str">
        <f t="shared" si="8"/>
        <v>ras162013</v>
      </c>
      <c r="L568">
        <f>VLOOKUP(K568,BheightCalcs!I$1:M$429, 5, FALSE)</f>
        <v>7</v>
      </c>
      <c r="M568">
        <f>VLOOKUP(A568, BheightCalcs!P$1:S$39, 4, FALSE)</f>
        <v>10</v>
      </c>
    </row>
    <row r="569" spans="1:13" x14ac:dyDescent="0.2">
      <c r="A569" t="s">
        <v>104</v>
      </c>
      <c r="B569">
        <v>2003</v>
      </c>
      <c r="C569" t="s">
        <v>80</v>
      </c>
      <c r="D569" t="s">
        <v>15</v>
      </c>
      <c r="E569" t="s">
        <v>105</v>
      </c>
      <c r="F569">
        <v>29</v>
      </c>
      <c r="G569">
        <v>330</v>
      </c>
      <c r="H569" t="s">
        <v>7</v>
      </c>
      <c r="I569">
        <v>8.5</v>
      </c>
      <c r="J569" t="b">
        <v>1</v>
      </c>
      <c r="K569" t="str">
        <f t="shared" si="8"/>
        <v>ras212003</v>
      </c>
      <c r="L569">
        <f>VLOOKUP(K569,BheightCalcs!I$1:M$429, 5, FALSE)</f>
        <v>3.3690000000000011</v>
      </c>
      <c r="M569">
        <f>VLOOKUP(A569, BheightCalcs!P$1:S$39, 4, FALSE)</f>
        <v>10</v>
      </c>
    </row>
    <row r="570" spans="1:13" x14ac:dyDescent="0.2">
      <c r="A570" t="s">
        <v>104</v>
      </c>
      <c r="B570">
        <v>2004</v>
      </c>
      <c r="C570" t="s">
        <v>80</v>
      </c>
      <c r="D570" t="s">
        <v>12</v>
      </c>
      <c r="E570" t="s">
        <v>106</v>
      </c>
      <c r="F570">
        <v>30</v>
      </c>
      <c r="G570">
        <v>297</v>
      </c>
      <c r="H570" t="s">
        <v>7</v>
      </c>
      <c r="I570">
        <v>8.5</v>
      </c>
      <c r="J570" t="b">
        <v>1</v>
      </c>
      <c r="K570" t="str">
        <f t="shared" si="8"/>
        <v>ras212004</v>
      </c>
      <c r="L570">
        <f>VLOOKUP(K570,BheightCalcs!I$1:M$429, 5, FALSE)</f>
        <v>3.8584500000000013</v>
      </c>
      <c r="M570">
        <f>VLOOKUP(A570, BheightCalcs!P$1:S$39, 4, FALSE)</f>
        <v>10</v>
      </c>
    </row>
    <row r="571" spans="1:13" x14ac:dyDescent="0.2">
      <c r="A571" t="s">
        <v>104</v>
      </c>
      <c r="B571">
        <v>2004</v>
      </c>
      <c r="C571" t="s">
        <v>80</v>
      </c>
      <c r="D571" t="s">
        <v>15</v>
      </c>
      <c r="E571" t="s">
        <v>105</v>
      </c>
      <c r="F571">
        <v>30</v>
      </c>
      <c r="G571">
        <v>297</v>
      </c>
      <c r="H571" t="s">
        <v>7</v>
      </c>
      <c r="I571">
        <v>8.5</v>
      </c>
      <c r="J571" t="b">
        <v>1</v>
      </c>
      <c r="K571" t="str">
        <f t="shared" si="8"/>
        <v>ras212004</v>
      </c>
      <c r="L571">
        <f>VLOOKUP(K571,BheightCalcs!I$1:M$429, 5, FALSE)</f>
        <v>3.8584500000000013</v>
      </c>
      <c r="M571">
        <f>VLOOKUP(A571, BheightCalcs!P$1:S$39, 4, FALSE)</f>
        <v>10</v>
      </c>
    </row>
    <row r="572" spans="1:13" x14ac:dyDescent="0.2">
      <c r="A572" t="s">
        <v>104</v>
      </c>
      <c r="B572">
        <v>2005</v>
      </c>
      <c r="C572" t="s">
        <v>80</v>
      </c>
      <c r="D572" t="s">
        <v>12</v>
      </c>
      <c r="E572" t="s">
        <v>106</v>
      </c>
      <c r="F572">
        <v>32</v>
      </c>
      <c r="G572">
        <v>306</v>
      </c>
      <c r="H572" t="s">
        <v>7</v>
      </c>
      <c r="I572">
        <v>8.5</v>
      </c>
      <c r="J572" t="b">
        <v>1</v>
      </c>
      <c r="K572" t="str">
        <f t="shared" si="8"/>
        <v>ras212005</v>
      </c>
      <c r="L572">
        <f>VLOOKUP(K572,BheightCalcs!I$1:M$429, 5, FALSE)</f>
        <v>4.4335500000000012</v>
      </c>
      <c r="M572">
        <f>VLOOKUP(A572, BheightCalcs!P$1:S$39, 4, FALSE)</f>
        <v>10</v>
      </c>
    </row>
    <row r="573" spans="1:13" x14ac:dyDescent="0.2">
      <c r="A573" t="s">
        <v>104</v>
      </c>
      <c r="B573">
        <v>2005</v>
      </c>
      <c r="C573" t="s">
        <v>80</v>
      </c>
      <c r="D573" t="s">
        <v>15</v>
      </c>
      <c r="E573" t="s">
        <v>105</v>
      </c>
      <c r="F573">
        <v>32</v>
      </c>
      <c r="G573">
        <v>306</v>
      </c>
      <c r="H573" t="s">
        <v>7</v>
      </c>
      <c r="I573">
        <v>8.5</v>
      </c>
      <c r="J573" t="b">
        <v>1</v>
      </c>
      <c r="K573" t="str">
        <f t="shared" si="8"/>
        <v>ras212005</v>
      </c>
      <c r="L573">
        <f>VLOOKUP(K573,BheightCalcs!I$1:M$429, 5, FALSE)</f>
        <v>4.4335500000000012</v>
      </c>
      <c r="M573">
        <f>VLOOKUP(A573, BheightCalcs!P$1:S$39, 4, FALSE)</f>
        <v>10</v>
      </c>
    </row>
    <row r="574" spans="1:13" x14ac:dyDescent="0.2">
      <c r="A574" t="s">
        <v>104</v>
      </c>
      <c r="B574">
        <v>2006</v>
      </c>
      <c r="C574" t="s">
        <v>80</v>
      </c>
      <c r="D574" t="s">
        <v>15</v>
      </c>
      <c r="E574" t="s">
        <v>105</v>
      </c>
      <c r="F574">
        <v>24</v>
      </c>
      <c r="G574">
        <v>320</v>
      </c>
      <c r="H574" t="s">
        <v>7</v>
      </c>
      <c r="I574">
        <v>8.5</v>
      </c>
      <c r="J574" t="b">
        <v>1</v>
      </c>
      <c r="K574" t="str">
        <f t="shared" si="8"/>
        <v>ras212006</v>
      </c>
      <c r="L574">
        <f>VLOOKUP(K574,BheightCalcs!I$1:M$429, 5, FALSE)</f>
        <v>4.9280000000000008</v>
      </c>
      <c r="M574">
        <f>VLOOKUP(A574, BheightCalcs!P$1:S$39, 4, FALSE)</f>
        <v>10</v>
      </c>
    </row>
    <row r="575" spans="1:13" x14ac:dyDescent="0.2">
      <c r="A575" t="s">
        <v>104</v>
      </c>
      <c r="B575">
        <v>2006</v>
      </c>
      <c r="C575" t="s">
        <v>80</v>
      </c>
      <c r="D575" t="s">
        <v>12</v>
      </c>
      <c r="E575" t="s">
        <v>106</v>
      </c>
      <c r="F575">
        <v>24</v>
      </c>
      <c r="G575">
        <v>320</v>
      </c>
      <c r="H575" t="s">
        <v>7</v>
      </c>
      <c r="I575">
        <v>8.5</v>
      </c>
      <c r="J575" t="b">
        <v>1</v>
      </c>
      <c r="K575" t="str">
        <f t="shared" si="8"/>
        <v>ras212006</v>
      </c>
      <c r="L575">
        <f>VLOOKUP(K575,BheightCalcs!I$1:M$429, 5, FALSE)</f>
        <v>4.9280000000000008</v>
      </c>
      <c r="M575">
        <f>VLOOKUP(A575, BheightCalcs!P$1:S$39, 4, FALSE)</f>
        <v>10</v>
      </c>
    </row>
    <row r="576" spans="1:13" x14ac:dyDescent="0.2">
      <c r="A576" t="s">
        <v>104</v>
      </c>
      <c r="B576">
        <v>2007</v>
      </c>
      <c r="C576" t="s">
        <v>80</v>
      </c>
      <c r="D576" t="s">
        <v>15</v>
      </c>
      <c r="E576" t="s">
        <v>105</v>
      </c>
      <c r="F576">
        <v>7</v>
      </c>
      <c r="G576">
        <v>314</v>
      </c>
      <c r="H576" t="s">
        <v>7</v>
      </c>
      <c r="I576">
        <v>8.5</v>
      </c>
      <c r="J576" t="b">
        <v>1</v>
      </c>
      <c r="K576" t="str">
        <f t="shared" si="8"/>
        <v>ras212007</v>
      </c>
      <c r="L576">
        <f>VLOOKUP(K576,BheightCalcs!I$1:M$429, 5, FALSE)</f>
        <v>5.4426500000000004</v>
      </c>
      <c r="M576">
        <f>VLOOKUP(A576, BheightCalcs!P$1:S$39, 4, FALSE)</f>
        <v>10</v>
      </c>
    </row>
    <row r="577" spans="1:13" x14ac:dyDescent="0.2">
      <c r="A577" t="s">
        <v>104</v>
      </c>
      <c r="B577">
        <v>2007</v>
      </c>
      <c r="C577" t="s">
        <v>80</v>
      </c>
      <c r="D577" t="s">
        <v>12</v>
      </c>
      <c r="E577" t="s">
        <v>106</v>
      </c>
      <c r="F577">
        <v>7</v>
      </c>
      <c r="G577">
        <v>314</v>
      </c>
      <c r="H577" t="s">
        <v>7</v>
      </c>
      <c r="I577">
        <v>8.5</v>
      </c>
      <c r="J577" t="b">
        <v>1</v>
      </c>
      <c r="K577" t="str">
        <f t="shared" si="8"/>
        <v>ras212007</v>
      </c>
      <c r="L577">
        <f>VLOOKUP(K577,BheightCalcs!I$1:M$429, 5, FALSE)</f>
        <v>5.4426500000000004</v>
      </c>
      <c r="M577">
        <f>VLOOKUP(A577, BheightCalcs!P$1:S$39, 4, FALSE)</f>
        <v>10</v>
      </c>
    </row>
    <row r="578" spans="1:13" x14ac:dyDescent="0.2">
      <c r="A578" t="s">
        <v>104</v>
      </c>
      <c r="B578">
        <v>2008</v>
      </c>
      <c r="C578" t="s">
        <v>80</v>
      </c>
      <c r="D578" t="s">
        <v>15</v>
      </c>
      <c r="E578" t="s">
        <v>105</v>
      </c>
      <c r="F578">
        <v>42</v>
      </c>
      <c r="G578">
        <v>299</v>
      </c>
      <c r="H578" t="s">
        <v>7</v>
      </c>
      <c r="I578">
        <v>8.5</v>
      </c>
      <c r="J578" t="b">
        <v>1</v>
      </c>
      <c r="K578" t="str">
        <f t="shared" si="8"/>
        <v>ras212008</v>
      </c>
      <c r="L578">
        <f>VLOOKUP(K578,BheightCalcs!I$1:M$429, 5, FALSE)</f>
        <v>6.1691500000000001</v>
      </c>
      <c r="M578">
        <f>VLOOKUP(A578, BheightCalcs!P$1:S$39, 4, FALSE)</f>
        <v>10</v>
      </c>
    </row>
    <row r="579" spans="1:13" x14ac:dyDescent="0.2">
      <c r="A579" t="s">
        <v>104</v>
      </c>
      <c r="B579">
        <v>2008</v>
      </c>
      <c r="C579" t="s">
        <v>80</v>
      </c>
      <c r="D579" t="s">
        <v>12</v>
      </c>
      <c r="E579" t="s">
        <v>106</v>
      </c>
      <c r="F579">
        <v>42</v>
      </c>
      <c r="G579">
        <v>299</v>
      </c>
      <c r="H579" t="s">
        <v>7</v>
      </c>
      <c r="I579">
        <v>8.5</v>
      </c>
      <c r="J579" t="b">
        <v>1</v>
      </c>
      <c r="K579" t="str">
        <f t="shared" ref="K579:K642" si="9">CONCATENATE(A579, B579)</f>
        <v>ras212008</v>
      </c>
      <c r="L579">
        <f>VLOOKUP(K579,BheightCalcs!I$1:M$429, 5, FALSE)</f>
        <v>6.1691500000000001</v>
      </c>
      <c r="M579">
        <f>VLOOKUP(A579, BheightCalcs!P$1:S$39, 4, FALSE)</f>
        <v>10</v>
      </c>
    </row>
    <row r="580" spans="1:13" x14ac:dyDescent="0.2">
      <c r="A580" t="s">
        <v>104</v>
      </c>
      <c r="B580">
        <v>2009</v>
      </c>
      <c r="C580" t="s">
        <v>80</v>
      </c>
      <c r="D580" t="s">
        <v>15</v>
      </c>
      <c r="E580" t="s">
        <v>105</v>
      </c>
      <c r="F580">
        <v>42</v>
      </c>
      <c r="G580">
        <v>341</v>
      </c>
      <c r="H580" t="s">
        <v>7</v>
      </c>
      <c r="I580">
        <v>8.5</v>
      </c>
      <c r="J580" t="b">
        <v>1</v>
      </c>
      <c r="K580" t="str">
        <f t="shared" si="9"/>
        <v>ras212009</v>
      </c>
      <c r="L580">
        <f>VLOOKUP(K580,BheightCalcs!I$1:M$429, 5, FALSE)</f>
        <v>6.6282500000000004</v>
      </c>
      <c r="M580">
        <f>VLOOKUP(A580, BheightCalcs!P$1:S$39, 4, FALSE)</f>
        <v>10</v>
      </c>
    </row>
    <row r="581" spans="1:13" x14ac:dyDescent="0.2">
      <c r="A581" t="s">
        <v>104</v>
      </c>
      <c r="B581">
        <v>2009</v>
      </c>
      <c r="C581" t="s">
        <v>80</v>
      </c>
      <c r="D581" t="s">
        <v>12</v>
      </c>
      <c r="E581" t="s">
        <v>106</v>
      </c>
      <c r="F581">
        <v>42</v>
      </c>
      <c r="G581">
        <v>341</v>
      </c>
      <c r="H581" t="s">
        <v>7</v>
      </c>
      <c r="I581">
        <v>8.5</v>
      </c>
      <c r="J581" t="b">
        <v>1</v>
      </c>
      <c r="K581" t="str">
        <f t="shared" si="9"/>
        <v>ras212009</v>
      </c>
      <c r="L581">
        <f>VLOOKUP(K581,BheightCalcs!I$1:M$429, 5, FALSE)</f>
        <v>6.6282500000000004</v>
      </c>
      <c r="M581">
        <f>VLOOKUP(A581, BheightCalcs!P$1:S$39, 4, FALSE)</f>
        <v>10</v>
      </c>
    </row>
    <row r="582" spans="1:13" x14ac:dyDescent="0.2">
      <c r="A582" t="s">
        <v>104</v>
      </c>
      <c r="B582">
        <v>2010</v>
      </c>
      <c r="C582" t="s">
        <v>80</v>
      </c>
      <c r="D582" t="s">
        <v>12</v>
      </c>
      <c r="E582" t="s">
        <v>106</v>
      </c>
      <c r="F582">
        <v>41</v>
      </c>
      <c r="G582">
        <v>296</v>
      </c>
      <c r="H582" t="s">
        <v>7</v>
      </c>
      <c r="I582">
        <v>8.5</v>
      </c>
      <c r="J582" t="b">
        <v>1</v>
      </c>
      <c r="K582" t="str">
        <f t="shared" si="9"/>
        <v>ras212010</v>
      </c>
      <c r="L582">
        <f>VLOOKUP(K582,BheightCalcs!I$1:M$429, 5, FALSE)</f>
        <v>7.0722000000000005</v>
      </c>
      <c r="M582">
        <f>VLOOKUP(A582, BheightCalcs!P$1:S$39, 4, FALSE)</f>
        <v>10</v>
      </c>
    </row>
    <row r="583" spans="1:13" x14ac:dyDescent="0.2">
      <c r="A583" t="s">
        <v>104</v>
      </c>
      <c r="B583">
        <v>2010</v>
      </c>
      <c r="C583" t="s">
        <v>80</v>
      </c>
      <c r="D583" t="s">
        <v>15</v>
      </c>
      <c r="E583" t="s">
        <v>105</v>
      </c>
      <c r="F583">
        <v>41</v>
      </c>
      <c r="G583">
        <v>296</v>
      </c>
      <c r="H583" t="s">
        <v>7</v>
      </c>
      <c r="I583">
        <v>8.5</v>
      </c>
      <c r="J583" t="b">
        <v>1</v>
      </c>
      <c r="K583" t="str">
        <f t="shared" si="9"/>
        <v>ras212010</v>
      </c>
      <c r="L583">
        <f>VLOOKUP(K583,BheightCalcs!I$1:M$429, 5, FALSE)</f>
        <v>7.0722000000000005</v>
      </c>
      <c r="M583">
        <f>VLOOKUP(A583, BheightCalcs!P$1:S$39, 4, FALSE)</f>
        <v>10</v>
      </c>
    </row>
    <row r="584" spans="1:13" x14ac:dyDescent="0.2">
      <c r="A584" t="s">
        <v>104</v>
      </c>
      <c r="B584">
        <v>2011</v>
      </c>
      <c r="C584" t="s">
        <v>80</v>
      </c>
      <c r="D584" t="s">
        <v>12</v>
      </c>
      <c r="E584" t="s">
        <v>106</v>
      </c>
      <c r="F584">
        <v>47</v>
      </c>
      <c r="G584">
        <v>337</v>
      </c>
      <c r="H584" t="s">
        <v>7</v>
      </c>
      <c r="I584">
        <v>8.5</v>
      </c>
      <c r="J584" t="b">
        <v>1</v>
      </c>
      <c r="K584" t="str">
        <f t="shared" si="9"/>
        <v>ras212011</v>
      </c>
      <c r="L584">
        <f>VLOOKUP(K584,BheightCalcs!I$1:M$429, 5, FALSE)</f>
        <v>7.4229000000000003</v>
      </c>
      <c r="M584">
        <f>VLOOKUP(A584, BheightCalcs!P$1:S$39, 4, FALSE)</f>
        <v>10</v>
      </c>
    </row>
    <row r="585" spans="1:13" x14ac:dyDescent="0.2">
      <c r="A585" t="s">
        <v>104</v>
      </c>
      <c r="B585">
        <v>2011</v>
      </c>
      <c r="C585" t="s">
        <v>80</v>
      </c>
      <c r="D585" t="s">
        <v>15</v>
      </c>
      <c r="E585" t="s">
        <v>105</v>
      </c>
      <c r="F585">
        <v>47</v>
      </c>
      <c r="G585">
        <v>337</v>
      </c>
      <c r="H585" t="s">
        <v>7</v>
      </c>
      <c r="I585">
        <v>8.5</v>
      </c>
      <c r="J585" t="b">
        <v>1</v>
      </c>
      <c r="K585" t="str">
        <f t="shared" si="9"/>
        <v>ras212011</v>
      </c>
      <c r="L585">
        <f>VLOOKUP(K585,BheightCalcs!I$1:M$429, 5, FALSE)</f>
        <v>7.4229000000000003</v>
      </c>
      <c r="M585">
        <f>VLOOKUP(A585, BheightCalcs!P$1:S$39, 4, FALSE)</f>
        <v>10</v>
      </c>
    </row>
    <row r="586" spans="1:13" x14ac:dyDescent="0.2">
      <c r="A586" t="s">
        <v>104</v>
      </c>
      <c r="B586">
        <v>2012</v>
      </c>
      <c r="C586" t="s">
        <v>80</v>
      </c>
      <c r="D586" t="s">
        <v>15</v>
      </c>
      <c r="E586" t="s">
        <v>105</v>
      </c>
      <c r="F586">
        <v>37</v>
      </c>
      <c r="G586">
        <v>323</v>
      </c>
      <c r="H586" t="s">
        <v>7</v>
      </c>
      <c r="I586">
        <v>8.5</v>
      </c>
      <c r="J586" t="b">
        <v>1</v>
      </c>
      <c r="K586" t="str">
        <f t="shared" si="9"/>
        <v>ras212012</v>
      </c>
      <c r="L586">
        <f>VLOOKUP(K586,BheightCalcs!I$1:M$429, 5, FALSE)</f>
        <v>7.8870500000000003</v>
      </c>
      <c r="M586">
        <f>VLOOKUP(A586, BheightCalcs!P$1:S$39, 4, FALSE)</f>
        <v>10</v>
      </c>
    </row>
    <row r="587" spans="1:13" x14ac:dyDescent="0.2">
      <c r="A587" t="s">
        <v>104</v>
      </c>
      <c r="B587">
        <v>2012</v>
      </c>
      <c r="C587" t="s">
        <v>80</v>
      </c>
      <c r="D587" t="s">
        <v>12</v>
      </c>
      <c r="E587" t="s">
        <v>106</v>
      </c>
      <c r="F587">
        <v>37</v>
      </c>
      <c r="G587">
        <v>323</v>
      </c>
      <c r="H587" t="s">
        <v>7</v>
      </c>
      <c r="I587">
        <v>8.5</v>
      </c>
      <c r="J587" t="b">
        <v>1</v>
      </c>
      <c r="K587" t="str">
        <f t="shared" si="9"/>
        <v>ras212012</v>
      </c>
      <c r="L587">
        <f>VLOOKUP(K587,BheightCalcs!I$1:M$429, 5, FALSE)</f>
        <v>7.8870500000000003</v>
      </c>
      <c r="M587">
        <f>VLOOKUP(A587, BheightCalcs!P$1:S$39, 4, FALSE)</f>
        <v>10</v>
      </c>
    </row>
    <row r="588" spans="1:13" x14ac:dyDescent="0.2">
      <c r="A588" t="s">
        <v>104</v>
      </c>
      <c r="B588">
        <v>2013</v>
      </c>
      <c r="C588" t="s">
        <v>80</v>
      </c>
      <c r="D588" t="s">
        <v>12</v>
      </c>
      <c r="E588" t="s">
        <v>106</v>
      </c>
      <c r="F588">
        <v>20</v>
      </c>
      <c r="G588">
        <v>287</v>
      </c>
      <c r="H588" t="s">
        <v>7</v>
      </c>
      <c r="I588">
        <v>8.5</v>
      </c>
      <c r="J588" t="b">
        <v>1</v>
      </c>
      <c r="K588" t="str">
        <f t="shared" si="9"/>
        <v>ras212013</v>
      </c>
      <c r="L588">
        <f>VLOOKUP(K588,BheightCalcs!I$1:M$429, 5, FALSE)</f>
        <v>8.5</v>
      </c>
      <c r="M588">
        <f>VLOOKUP(A588, BheightCalcs!P$1:S$39, 4, FALSE)</f>
        <v>10</v>
      </c>
    </row>
    <row r="589" spans="1:13" x14ac:dyDescent="0.2">
      <c r="A589" t="s">
        <v>104</v>
      </c>
      <c r="B589">
        <v>2013</v>
      </c>
      <c r="C589" t="s">
        <v>80</v>
      </c>
      <c r="D589" t="s">
        <v>15</v>
      </c>
      <c r="E589" t="s">
        <v>105</v>
      </c>
      <c r="F589">
        <v>20</v>
      </c>
      <c r="G589">
        <v>287</v>
      </c>
      <c r="H589" t="s">
        <v>7</v>
      </c>
      <c r="I589">
        <v>8.5</v>
      </c>
      <c r="J589" t="b">
        <v>1</v>
      </c>
      <c r="K589" t="str">
        <f t="shared" si="9"/>
        <v>ras212013</v>
      </c>
      <c r="L589">
        <f>VLOOKUP(K589,BheightCalcs!I$1:M$429, 5, FALSE)</f>
        <v>8.5</v>
      </c>
      <c r="M589">
        <f>VLOOKUP(A589, BheightCalcs!P$1:S$39, 4, FALSE)</f>
        <v>10</v>
      </c>
    </row>
    <row r="590" spans="1:13" x14ac:dyDescent="0.2">
      <c r="A590" t="s">
        <v>107</v>
      </c>
      <c r="B590">
        <v>2003</v>
      </c>
      <c r="C590" t="s">
        <v>108</v>
      </c>
      <c r="D590" t="s">
        <v>12</v>
      </c>
      <c r="E590" t="s">
        <v>110</v>
      </c>
      <c r="F590">
        <v>29</v>
      </c>
      <c r="G590">
        <v>330</v>
      </c>
      <c r="H590" t="s">
        <v>7</v>
      </c>
      <c r="I590">
        <v>11</v>
      </c>
      <c r="J590" t="b">
        <v>1</v>
      </c>
      <c r="K590" t="str">
        <f t="shared" si="9"/>
        <v>sad052003</v>
      </c>
      <c r="L590">
        <f>VLOOKUP(K590,BheightCalcs!I$1:M$429, 5, FALSE)</f>
        <v>3.8637499999999987</v>
      </c>
      <c r="M590">
        <f>VLOOKUP(A590, BheightCalcs!P$1:S$39, 4, FALSE)</f>
        <v>10</v>
      </c>
    </row>
    <row r="591" spans="1:13" x14ac:dyDescent="0.2">
      <c r="A591" t="s">
        <v>107</v>
      </c>
      <c r="B591">
        <v>2003</v>
      </c>
      <c r="C591" t="s">
        <v>108</v>
      </c>
      <c r="D591" t="s">
        <v>15</v>
      </c>
      <c r="E591" t="s">
        <v>109</v>
      </c>
      <c r="F591">
        <v>29</v>
      </c>
      <c r="G591">
        <v>330</v>
      </c>
      <c r="H591" t="s">
        <v>7</v>
      </c>
      <c r="I591">
        <v>11</v>
      </c>
      <c r="J591" t="b">
        <v>1</v>
      </c>
      <c r="K591" t="str">
        <f t="shared" si="9"/>
        <v>sad052003</v>
      </c>
      <c r="L591">
        <f>VLOOKUP(K591,BheightCalcs!I$1:M$429, 5, FALSE)</f>
        <v>3.8637499999999987</v>
      </c>
      <c r="M591">
        <f>VLOOKUP(A591, BheightCalcs!P$1:S$39, 4, FALSE)</f>
        <v>10</v>
      </c>
    </row>
    <row r="592" spans="1:13" x14ac:dyDescent="0.2">
      <c r="A592" t="s">
        <v>107</v>
      </c>
      <c r="B592">
        <v>2004</v>
      </c>
      <c r="C592" t="s">
        <v>108</v>
      </c>
      <c r="D592" t="s">
        <v>15</v>
      </c>
      <c r="E592" t="s">
        <v>109</v>
      </c>
      <c r="F592">
        <v>39</v>
      </c>
      <c r="G592">
        <v>296</v>
      </c>
      <c r="H592" t="s">
        <v>7</v>
      </c>
      <c r="I592">
        <v>11</v>
      </c>
      <c r="J592" t="b">
        <v>1</v>
      </c>
      <c r="K592" t="str">
        <f t="shared" si="9"/>
        <v>sad052004</v>
      </c>
      <c r="L592">
        <f>VLOOKUP(K592,BheightCalcs!I$1:M$429, 5, FALSE)</f>
        <v>4.6517499999999989</v>
      </c>
      <c r="M592">
        <f>VLOOKUP(A592, BheightCalcs!P$1:S$39, 4, FALSE)</f>
        <v>10</v>
      </c>
    </row>
    <row r="593" spans="1:13" x14ac:dyDescent="0.2">
      <c r="A593" t="s">
        <v>107</v>
      </c>
      <c r="B593">
        <v>2004</v>
      </c>
      <c r="C593" t="s">
        <v>108</v>
      </c>
      <c r="D593" t="s">
        <v>12</v>
      </c>
      <c r="E593" t="s">
        <v>110</v>
      </c>
      <c r="F593">
        <v>39</v>
      </c>
      <c r="G593">
        <v>296</v>
      </c>
      <c r="H593" t="s">
        <v>7</v>
      </c>
      <c r="I593">
        <v>11</v>
      </c>
      <c r="J593" t="b">
        <v>1</v>
      </c>
      <c r="K593" t="str">
        <f t="shared" si="9"/>
        <v>sad052004</v>
      </c>
      <c r="L593">
        <f>VLOOKUP(K593,BheightCalcs!I$1:M$429, 5, FALSE)</f>
        <v>4.6517499999999989</v>
      </c>
      <c r="M593">
        <f>VLOOKUP(A593, BheightCalcs!P$1:S$39, 4, FALSE)</f>
        <v>10</v>
      </c>
    </row>
    <row r="594" spans="1:13" x14ac:dyDescent="0.2">
      <c r="A594" t="s">
        <v>107</v>
      </c>
      <c r="B594">
        <v>2005</v>
      </c>
      <c r="C594" t="s">
        <v>108</v>
      </c>
      <c r="D594" t="s">
        <v>12</v>
      </c>
      <c r="E594" t="s">
        <v>110</v>
      </c>
      <c r="F594">
        <v>40</v>
      </c>
      <c r="G594">
        <v>306</v>
      </c>
      <c r="H594" t="s">
        <v>7</v>
      </c>
      <c r="I594">
        <v>11</v>
      </c>
      <c r="J594" t="b">
        <v>1</v>
      </c>
      <c r="K594" t="str">
        <f t="shared" si="9"/>
        <v>sad052005</v>
      </c>
      <c r="L594">
        <f>VLOOKUP(K594,BheightCalcs!I$1:M$429, 5, FALSE)</f>
        <v>5.2292499999999986</v>
      </c>
      <c r="M594">
        <f>VLOOKUP(A594, BheightCalcs!P$1:S$39, 4, FALSE)</f>
        <v>10</v>
      </c>
    </row>
    <row r="595" spans="1:13" x14ac:dyDescent="0.2">
      <c r="A595" t="s">
        <v>107</v>
      </c>
      <c r="B595">
        <v>2005</v>
      </c>
      <c r="C595" t="s">
        <v>108</v>
      </c>
      <c r="D595" t="s">
        <v>15</v>
      </c>
      <c r="E595" t="s">
        <v>109</v>
      </c>
      <c r="F595">
        <v>40</v>
      </c>
      <c r="G595">
        <v>306</v>
      </c>
      <c r="H595" t="s">
        <v>7</v>
      </c>
      <c r="I595">
        <v>11</v>
      </c>
      <c r="J595" t="b">
        <v>1</v>
      </c>
      <c r="K595" t="str">
        <f t="shared" si="9"/>
        <v>sad052005</v>
      </c>
      <c r="L595">
        <f>VLOOKUP(K595,BheightCalcs!I$1:M$429, 5, FALSE)</f>
        <v>5.2292499999999986</v>
      </c>
      <c r="M595">
        <f>VLOOKUP(A595, BheightCalcs!P$1:S$39, 4, FALSE)</f>
        <v>10</v>
      </c>
    </row>
    <row r="596" spans="1:13" x14ac:dyDescent="0.2">
      <c r="A596" t="s">
        <v>107</v>
      </c>
      <c r="B596">
        <v>2006</v>
      </c>
      <c r="C596" t="s">
        <v>108</v>
      </c>
      <c r="D596" t="s">
        <v>12</v>
      </c>
      <c r="E596" t="s">
        <v>110</v>
      </c>
      <c r="F596">
        <v>21</v>
      </c>
      <c r="G596">
        <v>320</v>
      </c>
      <c r="H596" t="s">
        <v>7</v>
      </c>
      <c r="I596">
        <v>11</v>
      </c>
      <c r="J596" t="b">
        <v>1</v>
      </c>
      <c r="K596" t="str">
        <f t="shared" si="9"/>
        <v>sad052006</v>
      </c>
      <c r="L596">
        <f>VLOOKUP(K596,BheightCalcs!I$1:M$429, 5, FALSE)</f>
        <v>5.8849999999999989</v>
      </c>
      <c r="M596">
        <f>VLOOKUP(A596, BheightCalcs!P$1:S$39, 4, FALSE)</f>
        <v>10</v>
      </c>
    </row>
    <row r="597" spans="1:13" x14ac:dyDescent="0.2">
      <c r="A597" t="s">
        <v>107</v>
      </c>
      <c r="B597">
        <v>2006</v>
      </c>
      <c r="C597" t="s">
        <v>108</v>
      </c>
      <c r="D597" t="s">
        <v>15</v>
      </c>
      <c r="E597" t="s">
        <v>109</v>
      </c>
      <c r="F597">
        <v>21</v>
      </c>
      <c r="G597">
        <v>320</v>
      </c>
      <c r="H597" t="s">
        <v>7</v>
      </c>
      <c r="I597">
        <v>11</v>
      </c>
      <c r="J597" t="b">
        <v>1</v>
      </c>
      <c r="K597" t="str">
        <f t="shared" si="9"/>
        <v>sad052006</v>
      </c>
      <c r="L597">
        <f>VLOOKUP(K597,BheightCalcs!I$1:M$429, 5, FALSE)</f>
        <v>5.8849999999999989</v>
      </c>
      <c r="M597">
        <f>VLOOKUP(A597, BheightCalcs!P$1:S$39, 4, FALSE)</f>
        <v>10</v>
      </c>
    </row>
    <row r="598" spans="1:13" x14ac:dyDescent="0.2">
      <c r="A598" t="s">
        <v>107</v>
      </c>
      <c r="B598">
        <v>2007</v>
      </c>
      <c r="C598" t="s">
        <v>108</v>
      </c>
      <c r="D598" t="s">
        <v>15</v>
      </c>
      <c r="E598" t="s">
        <v>109</v>
      </c>
      <c r="F598">
        <v>7</v>
      </c>
      <c r="G598">
        <v>313</v>
      </c>
      <c r="H598" t="s">
        <v>7</v>
      </c>
      <c r="I598">
        <v>11</v>
      </c>
      <c r="J598" t="b">
        <v>1</v>
      </c>
      <c r="K598" t="str">
        <f t="shared" si="9"/>
        <v>sad052007</v>
      </c>
      <c r="L598">
        <f>VLOOKUP(K598,BheightCalcs!I$1:M$429, 5, FALSE)</f>
        <v>6.5553999999999988</v>
      </c>
      <c r="M598">
        <f>VLOOKUP(A598, BheightCalcs!P$1:S$39, 4, FALSE)</f>
        <v>10</v>
      </c>
    </row>
    <row r="599" spans="1:13" x14ac:dyDescent="0.2">
      <c r="A599" t="s">
        <v>107</v>
      </c>
      <c r="B599">
        <v>2007</v>
      </c>
      <c r="C599" t="s">
        <v>108</v>
      </c>
      <c r="D599" t="s">
        <v>12</v>
      </c>
      <c r="E599" t="s">
        <v>110</v>
      </c>
      <c r="F599">
        <v>7</v>
      </c>
      <c r="G599">
        <v>313</v>
      </c>
      <c r="H599" t="s">
        <v>7</v>
      </c>
      <c r="I599">
        <v>11</v>
      </c>
      <c r="J599" t="b">
        <v>1</v>
      </c>
      <c r="K599" t="str">
        <f t="shared" si="9"/>
        <v>sad052007</v>
      </c>
      <c r="L599">
        <f>VLOOKUP(K599,BheightCalcs!I$1:M$429, 5, FALSE)</f>
        <v>6.5553999999999988</v>
      </c>
      <c r="M599">
        <f>VLOOKUP(A599, BheightCalcs!P$1:S$39, 4, FALSE)</f>
        <v>10</v>
      </c>
    </row>
    <row r="600" spans="1:13" x14ac:dyDescent="0.2">
      <c r="A600" t="s">
        <v>107</v>
      </c>
      <c r="B600">
        <v>2008</v>
      </c>
      <c r="C600" t="s">
        <v>108</v>
      </c>
      <c r="D600" t="s">
        <v>15</v>
      </c>
      <c r="E600" t="s">
        <v>109</v>
      </c>
      <c r="F600">
        <v>36</v>
      </c>
      <c r="G600">
        <v>301</v>
      </c>
      <c r="H600" t="s">
        <v>7</v>
      </c>
      <c r="I600">
        <v>11</v>
      </c>
      <c r="J600" t="b">
        <v>1</v>
      </c>
      <c r="K600" t="str">
        <f t="shared" si="9"/>
        <v>sad052008</v>
      </c>
      <c r="L600">
        <f>VLOOKUP(K600,BheightCalcs!I$1:M$429, 5, FALSE)</f>
        <v>7.4217999999999984</v>
      </c>
      <c r="M600">
        <f>VLOOKUP(A600, BheightCalcs!P$1:S$39, 4, FALSE)</f>
        <v>10</v>
      </c>
    </row>
    <row r="601" spans="1:13" x14ac:dyDescent="0.2">
      <c r="A601" t="s">
        <v>107</v>
      </c>
      <c r="B601">
        <v>2008</v>
      </c>
      <c r="C601" t="s">
        <v>108</v>
      </c>
      <c r="D601" t="s">
        <v>12</v>
      </c>
      <c r="E601" t="s">
        <v>110</v>
      </c>
      <c r="F601">
        <v>36</v>
      </c>
      <c r="G601">
        <v>301</v>
      </c>
      <c r="H601" t="s">
        <v>7</v>
      </c>
      <c r="I601">
        <v>11</v>
      </c>
      <c r="J601" t="b">
        <v>1</v>
      </c>
      <c r="K601" t="str">
        <f t="shared" si="9"/>
        <v>sad052008</v>
      </c>
      <c r="L601">
        <f>VLOOKUP(K601,BheightCalcs!I$1:M$429, 5, FALSE)</f>
        <v>7.4217999999999984</v>
      </c>
      <c r="M601">
        <f>VLOOKUP(A601, BheightCalcs!P$1:S$39, 4, FALSE)</f>
        <v>10</v>
      </c>
    </row>
    <row r="602" spans="1:13" x14ac:dyDescent="0.2">
      <c r="A602" t="s">
        <v>107</v>
      </c>
      <c r="B602">
        <v>2009</v>
      </c>
      <c r="C602" t="s">
        <v>108</v>
      </c>
      <c r="D602" t="s">
        <v>15</v>
      </c>
      <c r="E602" t="s">
        <v>109</v>
      </c>
      <c r="F602">
        <v>42</v>
      </c>
      <c r="G602">
        <v>341</v>
      </c>
      <c r="H602" t="s">
        <v>7</v>
      </c>
      <c r="I602">
        <v>11</v>
      </c>
      <c r="J602" t="b">
        <v>1</v>
      </c>
      <c r="K602" t="str">
        <f t="shared" si="9"/>
        <v>sad052009</v>
      </c>
      <c r="L602">
        <f>VLOOKUP(K602,BheightCalcs!I$1:M$429, 5, FALSE)</f>
        <v>8.3633999999999986</v>
      </c>
      <c r="M602">
        <f>VLOOKUP(A602, BheightCalcs!P$1:S$39, 4, FALSE)</f>
        <v>10</v>
      </c>
    </row>
    <row r="603" spans="1:13" x14ac:dyDescent="0.2">
      <c r="A603" t="s">
        <v>107</v>
      </c>
      <c r="B603">
        <v>2009</v>
      </c>
      <c r="C603" t="s">
        <v>108</v>
      </c>
      <c r="D603" t="s">
        <v>12</v>
      </c>
      <c r="E603" t="s">
        <v>110</v>
      </c>
      <c r="F603">
        <v>42</v>
      </c>
      <c r="G603">
        <v>341</v>
      </c>
      <c r="H603" t="s">
        <v>7</v>
      </c>
      <c r="I603">
        <v>11</v>
      </c>
      <c r="J603" t="b">
        <v>1</v>
      </c>
      <c r="K603" t="str">
        <f t="shared" si="9"/>
        <v>sad052009</v>
      </c>
      <c r="L603">
        <f>VLOOKUP(K603,BheightCalcs!I$1:M$429, 5, FALSE)</f>
        <v>8.3633999999999986</v>
      </c>
      <c r="M603">
        <f>VLOOKUP(A603, BheightCalcs!P$1:S$39, 4, FALSE)</f>
        <v>10</v>
      </c>
    </row>
    <row r="604" spans="1:13" x14ac:dyDescent="0.2">
      <c r="A604" t="s">
        <v>107</v>
      </c>
      <c r="B604">
        <v>2010</v>
      </c>
      <c r="C604" t="s">
        <v>108</v>
      </c>
      <c r="D604" t="s">
        <v>15</v>
      </c>
      <c r="E604" t="s">
        <v>109</v>
      </c>
      <c r="F604">
        <v>41</v>
      </c>
      <c r="G604">
        <v>296</v>
      </c>
      <c r="H604" t="s">
        <v>7</v>
      </c>
      <c r="I604">
        <v>11</v>
      </c>
      <c r="J604" t="b">
        <v>1</v>
      </c>
      <c r="K604" t="str">
        <f t="shared" si="9"/>
        <v>sad052010</v>
      </c>
      <c r="L604">
        <f>VLOOKUP(K604,BheightCalcs!I$1:M$429, 5, FALSE)</f>
        <v>8.9815499999999986</v>
      </c>
      <c r="M604">
        <f>VLOOKUP(A604, BheightCalcs!P$1:S$39, 4, FALSE)</f>
        <v>10</v>
      </c>
    </row>
    <row r="605" spans="1:13" x14ac:dyDescent="0.2">
      <c r="A605" t="s">
        <v>107</v>
      </c>
      <c r="B605">
        <v>2010</v>
      </c>
      <c r="C605" t="s">
        <v>108</v>
      </c>
      <c r="D605" t="s">
        <v>12</v>
      </c>
      <c r="E605" t="s">
        <v>110</v>
      </c>
      <c r="F605">
        <v>41</v>
      </c>
      <c r="G605">
        <v>296</v>
      </c>
      <c r="H605" t="s">
        <v>7</v>
      </c>
      <c r="I605">
        <v>11</v>
      </c>
      <c r="J605" t="b">
        <v>1</v>
      </c>
      <c r="K605" t="str">
        <f t="shared" si="9"/>
        <v>sad052010</v>
      </c>
      <c r="L605">
        <f>VLOOKUP(K605,BheightCalcs!I$1:M$429, 5, FALSE)</f>
        <v>8.9815499999999986</v>
      </c>
      <c r="M605">
        <f>VLOOKUP(A605, BheightCalcs!P$1:S$39, 4, FALSE)</f>
        <v>10</v>
      </c>
    </row>
    <row r="606" spans="1:13" x14ac:dyDescent="0.2">
      <c r="A606" t="s">
        <v>107</v>
      </c>
      <c r="B606">
        <v>2011</v>
      </c>
      <c r="C606" t="s">
        <v>108</v>
      </c>
      <c r="D606" t="s">
        <v>12</v>
      </c>
      <c r="E606" t="s">
        <v>110</v>
      </c>
      <c r="F606">
        <v>47</v>
      </c>
      <c r="G606">
        <v>337</v>
      </c>
      <c r="H606" t="s">
        <v>7</v>
      </c>
      <c r="I606">
        <v>11</v>
      </c>
      <c r="J606" t="b">
        <v>1</v>
      </c>
      <c r="K606" t="str">
        <f t="shared" si="9"/>
        <v>sad052011</v>
      </c>
      <c r="L606">
        <f>VLOOKUP(K606,BheightCalcs!I$1:M$429, 5, FALSE)</f>
        <v>9.5689999999999991</v>
      </c>
      <c r="M606">
        <f>VLOOKUP(A606, BheightCalcs!P$1:S$39, 4, FALSE)</f>
        <v>10</v>
      </c>
    </row>
    <row r="607" spans="1:13" x14ac:dyDescent="0.2">
      <c r="A607" t="s">
        <v>107</v>
      </c>
      <c r="B607">
        <v>2011</v>
      </c>
      <c r="C607" t="s">
        <v>108</v>
      </c>
      <c r="D607" t="s">
        <v>15</v>
      </c>
      <c r="E607" t="s">
        <v>109</v>
      </c>
      <c r="F607">
        <v>47</v>
      </c>
      <c r="G607">
        <v>337</v>
      </c>
      <c r="H607" t="s">
        <v>7</v>
      </c>
      <c r="I607">
        <v>11</v>
      </c>
      <c r="J607" t="b">
        <v>1</v>
      </c>
      <c r="K607" t="str">
        <f t="shared" si="9"/>
        <v>sad052011</v>
      </c>
      <c r="L607">
        <f>VLOOKUP(K607,BheightCalcs!I$1:M$429, 5, FALSE)</f>
        <v>9.5689999999999991</v>
      </c>
      <c r="M607">
        <f>VLOOKUP(A607, BheightCalcs!P$1:S$39, 4, FALSE)</f>
        <v>10</v>
      </c>
    </row>
    <row r="608" spans="1:13" x14ac:dyDescent="0.2">
      <c r="A608" t="s">
        <v>107</v>
      </c>
      <c r="B608">
        <v>2012</v>
      </c>
      <c r="C608" t="s">
        <v>108</v>
      </c>
      <c r="D608" t="s">
        <v>15</v>
      </c>
      <c r="E608" t="s">
        <v>109</v>
      </c>
      <c r="F608">
        <v>23</v>
      </c>
      <c r="G608">
        <v>299</v>
      </c>
      <c r="H608" t="s">
        <v>7</v>
      </c>
      <c r="I608">
        <v>11</v>
      </c>
      <c r="J608" t="b">
        <v>1</v>
      </c>
      <c r="K608" t="str">
        <f t="shared" si="9"/>
        <v>sad052012</v>
      </c>
      <c r="L608">
        <f>VLOOKUP(K608,BheightCalcs!I$1:M$429, 5, FALSE)</f>
        <v>10.34455</v>
      </c>
      <c r="M608">
        <f>VLOOKUP(A608, BheightCalcs!P$1:S$39, 4, FALSE)</f>
        <v>10</v>
      </c>
    </row>
    <row r="609" spans="1:13" x14ac:dyDescent="0.2">
      <c r="A609" t="s">
        <v>107</v>
      </c>
      <c r="B609">
        <v>2012</v>
      </c>
      <c r="C609" t="s">
        <v>108</v>
      </c>
      <c r="D609" t="s">
        <v>12</v>
      </c>
      <c r="E609" t="s">
        <v>110</v>
      </c>
      <c r="F609">
        <v>23</v>
      </c>
      <c r="G609">
        <v>299</v>
      </c>
      <c r="H609" t="s">
        <v>7</v>
      </c>
      <c r="I609">
        <v>11</v>
      </c>
      <c r="J609" t="b">
        <v>1</v>
      </c>
      <c r="K609" t="str">
        <f t="shared" si="9"/>
        <v>sad052012</v>
      </c>
      <c r="L609">
        <f>VLOOKUP(K609,BheightCalcs!I$1:M$429, 5, FALSE)</f>
        <v>10.34455</v>
      </c>
      <c r="M609">
        <f>VLOOKUP(A609, BheightCalcs!P$1:S$39, 4, FALSE)</f>
        <v>10</v>
      </c>
    </row>
    <row r="610" spans="1:13" x14ac:dyDescent="0.2">
      <c r="A610" t="s">
        <v>107</v>
      </c>
      <c r="B610">
        <v>2013</v>
      </c>
      <c r="C610" t="s">
        <v>108</v>
      </c>
      <c r="D610" t="s">
        <v>12</v>
      </c>
      <c r="E610" t="s">
        <v>110</v>
      </c>
      <c r="F610">
        <v>20</v>
      </c>
      <c r="G610">
        <v>299</v>
      </c>
      <c r="H610" t="s">
        <v>7</v>
      </c>
      <c r="I610">
        <v>11</v>
      </c>
      <c r="J610" t="b">
        <v>1</v>
      </c>
      <c r="K610" t="str">
        <f t="shared" si="9"/>
        <v>sad052013</v>
      </c>
      <c r="L610">
        <f>VLOOKUP(K610,BheightCalcs!I$1:M$429, 5, FALSE)</f>
        <v>11</v>
      </c>
      <c r="M610">
        <f>VLOOKUP(A610, BheightCalcs!P$1:S$39, 4, FALSE)</f>
        <v>10</v>
      </c>
    </row>
    <row r="611" spans="1:13" x14ac:dyDescent="0.2">
      <c r="A611" t="s">
        <v>107</v>
      </c>
      <c r="B611">
        <v>2013</v>
      </c>
      <c r="C611" t="s">
        <v>108</v>
      </c>
      <c r="D611" t="s">
        <v>15</v>
      </c>
      <c r="E611" t="s">
        <v>109</v>
      </c>
      <c r="F611">
        <v>20</v>
      </c>
      <c r="G611">
        <v>299</v>
      </c>
      <c r="H611" t="s">
        <v>7</v>
      </c>
      <c r="I611">
        <v>11</v>
      </c>
      <c r="J611" t="b">
        <v>1</v>
      </c>
      <c r="K611" t="str">
        <f t="shared" si="9"/>
        <v>sad052013</v>
      </c>
      <c r="L611">
        <f>VLOOKUP(K611,BheightCalcs!I$1:M$429, 5, FALSE)</f>
        <v>11</v>
      </c>
      <c r="M611">
        <f>VLOOKUP(A611, BheightCalcs!P$1:S$39, 4, FALSE)</f>
        <v>10</v>
      </c>
    </row>
    <row r="612" spans="1:13" x14ac:dyDescent="0.2">
      <c r="A612" t="s">
        <v>111</v>
      </c>
      <c r="B612">
        <v>2002</v>
      </c>
      <c r="C612" t="s">
        <v>108</v>
      </c>
      <c r="D612" t="s">
        <v>12</v>
      </c>
      <c r="E612" t="s">
        <v>112</v>
      </c>
      <c r="F612">
        <v>38</v>
      </c>
      <c r="G612">
        <v>312</v>
      </c>
      <c r="H612" t="s">
        <v>7</v>
      </c>
      <c r="I612">
        <v>10</v>
      </c>
      <c r="J612" t="b">
        <v>1</v>
      </c>
      <c r="K612" t="str">
        <f t="shared" si="9"/>
        <v>sad072002</v>
      </c>
      <c r="L612">
        <f>VLOOKUP(K612,BheightCalcs!I$1:M$429, 5, FALSE)</f>
        <v>2.4674000000000009</v>
      </c>
      <c r="M612">
        <f>VLOOKUP(A612, BheightCalcs!P$1:S$39, 4, FALSE)</f>
        <v>11</v>
      </c>
    </row>
    <row r="613" spans="1:13" x14ac:dyDescent="0.2">
      <c r="A613" t="s">
        <v>111</v>
      </c>
      <c r="B613">
        <v>2003</v>
      </c>
      <c r="C613" t="s">
        <v>108</v>
      </c>
      <c r="D613" t="s">
        <v>15</v>
      </c>
      <c r="E613" t="s">
        <v>113</v>
      </c>
      <c r="F613">
        <v>29</v>
      </c>
      <c r="G613">
        <v>330</v>
      </c>
      <c r="H613" t="s">
        <v>7</v>
      </c>
      <c r="I613">
        <v>10</v>
      </c>
      <c r="J613" t="b">
        <v>1</v>
      </c>
      <c r="K613" t="str">
        <f t="shared" si="9"/>
        <v>sad072003</v>
      </c>
      <c r="L613">
        <f>VLOOKUP(K613,BheightCalcs!I$1:M$429, 5, FALSE)</f>
        <v>3.1687500000000011</v>
      </c>
      <c r="M613">
        <f>VLOOKUP(A613, BheightCalcs!P$1:S$39, 4, FALSE)</f>
        <v>11</v>
      </c>
    </row>
    <row r="614" spans="1:13" x14ac:dyDescent="0.2">
      <c r="A614" t="s">
        <v>111</v>
      </c>
      <c r="B614">
        <v>2003</v>
      </c>
      <c r="C614" t="s">
        <v>108</v>
      </c>
      <c r="D614" t="s">
        <v>12</v>
      </c>
      <c r="E614" t="s">
        <v>112</v>
      </c>
      <c r="F614">
        <v>29</v>
      </c>
      <c r="G614">
        <v>330</v>
      </c>
      <c r="H614" t="s">
        <v>7</v>
      </c>
      <c r="I614">
        <v>10</v>
      </c>
      <c r="J614" t="b">
        <v>1</v>
      </c>
      <c r="K614" t="str">
        <f t="shared" si="9"/>
        <v>sad072003</v>
      </c>
      <c r="L614">
        <f>VLOOKUP(K614,BheightCalcs!I$1:M$429, 5, FALSE)</f>
        <v>3.1687500000000011</v>
      </c>
      <c r="M614">
        <f>VLOOKUP(A614, BheightCalcs!P$1:S$39, 4, FALSE)</f>
        <v>11</v>
      </c>
    </row>
    <row r="615" spans="1:13" x14ac:dyDescent="0.2">
      <c r="A615" t="s">
        <v>111</v>
      </c>
      <c r="B615">
        <v>2004</v>
      </c>
      <c r="C615" t="s">
        <v>108</v>
      </c>
      <c r="D615" t="s">
        <v>12</v>
      </c>
      <c r="E615" t="s">
        <v>112</v>
      </c>
      <c r="F615">
        <v>39</v>
      </c>
      <c r="G615">
        <v>296</v>
      </c>
      <c r="H615" t="s">
        <v>7</v>
      </c>
      <c r="I615">
        <v>10</v>
      </c>
      <c r="J615" t="b">
        <v>1</v>
      </c>
      <c r="K615" t="str">
        <f t="shared" si="9"/>
        <v>sad072004</v>
      </c>
      <c r="L615">
        <f>VLOOKUP(K615,BheightCalcs!I$1:M$429, 5, FALSE)</f>
        <v>3.6858500000000012</v>
      </c>
      <c r="M615">
        <f>VLOOKUP(A615, BheightCalcs!P$1:S$39, 4, FALSE)</f>
        <v>11</v>
      </c>
    </row>
    <row r="616" spans="1:13" x14ac:dyDescent="0.2">
      <c r="A616" t="s">
        <v>111</v>
      </c>
      <c r="B616">
        <v>2004</v>
      </c>
      <c r="C616" t="s">
        <v>108</v>
      </c>
      <c r="D616" t="s">
        <v>15</v>
      </c>
      <c r="E616" t="s">
        <v>113</v>
      </c>
      <c r="F616">
        <v>39</v>
      </c>
      <c r="G616">
        <v>296</v>
      </c>
      <c r="H616" t="s">
        <v>7</v>
      </c>
      <c r="I616">
        <v>10</v>
      </c>
      <c r="J616" t="b">
        <v>1</v>
      </c>
      <c r="K616" t="str">
        <f t="shared" si="9"/>
        <v>sad072004</v>
      </c>
      <c r="L616">
        <f>VLOOKUP(K616,BheightCalcs!I$1:M$429, 5, FALSE)</f>
        <v>3.6858500000000012</v>
      </c>
      <c r="M616">
        <f>VLOOKUP(A616, BheightCalcs!P$1:S$39, 4, FALSE)</f>
        <v>11</v>
      </c>
    </row>
    <row r="617" spans="1:13" x14ac:dyDescent="0.2">
      <c r="A617" t="s">
        <v>111</v>
      </c>
      <c r="B617">
        <v>2005</v>
      </c>
      <c r="C617" t="s">
        <v>108</v>
      </c>
      <c r="D617" t="s">
        <v>12</v>
      </c>
      <c r="E617" t="s">
        <v>112</v>
      </c>
      <c r="F617">
        <v>40</v>
      </c>
      <c r="G617">
        <v>306</v>
      </c>
      <c r="H617" t="s">
        <v>7</v>
      </c>
      <c r="I617">
        <v>10</v>
      </c>
      <c r="J617" t="b">
        <v>1</v>
      </c>
      <c r="K617" t="str">
        <f t="shared" si="9"/>
        <v>sad072005</v>
      </c>
      <c r="L617">
        <f>VLOOKUP(K617,BheightCalcs!I$1:M$429, 5, FALSE)</f>
        <v>4.566250000000001</v>
      </c>
      <c r="M617">
        <f>VLOOKUP(A617, BheightCalcs!P$1:S$39, 4, FALSE)</f>
        <v>11</v>
      </c>
    </row>
    <row r="618" spans="1:13" x14ac:dyDescent="0.2">
      <c r="A618" t="s">
        <v>111</v>
      </c>
      <c r="B618">
        <v>2005</v>
      </c>
      <c r="C618" t="s">
        <v>108</v>
      </c>
      <c r="D618" t="s">
        <v>15</v>
      </c>
      <c r="E618" t="s">
        <v>113</v>
      </c>
      <c r="F618">
        <v>40</v>
      </c>
      <c r="G618">
        <v>306</v>
      </c>
      <c r="H618" t="s">
        <v>7</v>
      </c>
      <c r="I618">
        <v>10</v>
      </c>
      <c r="J618" t="b">
        <v>1</v>
      </c>
      <c r="K618" t="str">
        <f t="shared" si="9"/>
        <v>sad072005</v>
      </c>
      <c r="L618">
        <f>VLOOKUP(K618,BheightCalcs!I$1:M$429, 5, FALSE)</f>
        <v>4.566250000000001</v>
      </c>
      <c r="M618">
        <f>VLOOKUP(A618, BheightCalcs!P$1:S$39, 4, FALSE)</f>
        <v>11</v>
      </c>
    </row>
    <row r="619" spans="1:13" x14ac:dyDescent="0.2">
      <c r="A619" t="s">
        <v>111</v>
      </c>
      <c r="B619">
        <v>2006</v>
      </c>
      <c r="C619" t="s">
        <v>108</v>
      </c>
      <c r="D619" t="s">
        <v>15</v>
      </c>
      <c r="E619" t="s">
        <v>113</v>
      </c>
      <c r="F619">
        <v>21</v>
      </c>
      <c r="G619">
        <v>320</v>
      </c>
      <c r="H619" t="s">
        <v>7</v>
      </c>
      <c r="I619">
        <v>10</v>
      </c>
      <c r="J619" t="b">
        <v>1</v>
      </c>
      <c r="K619" t="str">
        <f t="shared" si="9"/>
        <v>sad072006</v>
      </c>
      <c r="L619">
        <f>VLOOKUP(K619,BheightCalcs!I$1:M$429, 5, FALSE)</f>
        <v>5.2473500000000008</v>
      </c>
      <c r="M619">
        <f>VLOOKUP(A619, BheightCalcs!P$1:S$39, 4, FALSE)</f>
        <v>11</v>
      </c>
    </row>
    <row r="620" spans="1:13" x14ac:dyDescent="0.2">
      <c r="A620" t="s">
        <v>111</v>
      </c>
      <c r="B620">
        <v>2006</v>
      </c>
      <c r="C620" t="s">
        <v>108</v>
      </c>
      <c r="D620" t="s">
        <v>12</v>
      </c>
      <c r="E620" t="s">
        <v>112</v>
      </c>
      <c r="F620">
        <v>21</v>
      </c>
      <c r="G620">
        <v>320</v>
      </c>
      <c r="H620" t="s">
        <v>7</v>
      </c>
      <c r="I620">
        <v>10</v>
      </c>
      <c r="J620" t="b">
        <v>1</v>
      </c>
      <c r="K620" t="str">
        <f t="shared" si="9"/>
        <v>sad072006</v>
      </c>
      <c r="L620">
        <f>VLOOKUP(K620,BheightCalcs!I$1:M$429, 5, FALSE)</f>
        <v>5.2473500000000008</v>
      </c>
      <c r="M620">
        <f>VLOOKUP(A620, BheightCalcs!P$1:S$39, 4, FALSE)</f>
        <v>11</v>
      </c>
    </row>
    <row r="621" spans="1:13" x14ac:dyDescent="0.2">
      <c r="A621" t="s">
        <v>111</v>
      </c>
      <c r="B621">
        <v>2007</v>
      </c>
      <c r="C621" t="s">
        <v>108</v>
      </c>
      <c r="D621" t="s">
        <v>12</v>
      </c>
      <c r="E621" t="s">
        <v>112</v>
      </c>
      <c r="F621">
        <v>7</v>
      </c>
      <c r="G621">
        <v>313</v>
      </c>
      <c r="H621" t="s">
        <v>7</v>
      </c>
      <c r="I621">
        <v>10</v>
      </c>
      <c r="J621" t="b">
        <v>1</v>
      </c>
      <c r="K621" t="str">
        <f t="shared" si="9"/>
        <v>sad072007</v>
      </c>
      <c r="L621">
        <f>VLOOKUP(K621,BheightCalcs!I$1:M$429, 5, FALSE)</f>
        <v>5.9890000000000008</v>
      </c>
      <c r="M621">
        <f>VLOOKUP(A621, BheightCalcs!P$1:S$39, 4, FALSE)</f>
        <v>11</v>
      </c>
    </row>
    <row r="622" spans="1:13" x14ac:dyDescent="0.2">
      <c r="A622" t="s">
        <v>111</v>
      </c>
      <c r="B622">
        <v>2007</v>
      </c>
      <c r="C622" t="s">
        <v>108</v>
      </c>
      <c r="D622" t="s">
        <v>15</v>
      </c>
      <c r="E622" t="s">
        <v>113</v>
      </c>
      <c r="F622">
        <v>7</v>
      </c>
      <c r="G622">
        <v>313</v>
      </c>
      <c r="H622" t="s">
        <v>7</v>
      </c>
      <c r="I622">
        <v>10</v>
      </c>
      <c r="J622" t="b">
        <v>1</v>
      </c>
      <c r="K622" t="str">
        <f t="shared" si="9"/>
        <v>sad072007</v>
      </c>
      <c r="L622">
        <f>VLOOKUP(K622,BheightCalcs!I$1:M$429, 5, FALSE)</f>
        <v>5.9890000000000008</v>
      </c>
      <c r="M622">
        <f>VLOOKUP(A622, BheightCalcs!P$1:S$39, 4, FALSE)</f>
        <v>11</v>
      </c>
    </row>
    <row r="623" spans="1:13" x14ac:dyDescent="0.2">
      <c r="A623" t="s">
        <v>111</v>
      </c>
      <c r="B623">
        <v>2008</v>
      </c>
      <c r="C623" t="s">
        <v>108</v>
      </c>
      <c r="D623" t="s">
        <v>12</v>
      </c>
      <c r="E623" t="s">
        <v>112</v>
      </c>
      <c r="F623">
        <v>36</v>
      </c>
      <c r="G623">
        <v>301</v>
      </c>
      <c r="H623" t="s">
        <v>7</v>
      </c>
      <c r="I623">
        <v>10</v>
      </c>
      <c r="J623" t="b">
        <v>1</v>
      </c>
      <c r="K623" t="str">
        <f t="shared" si="9"/>
        <v>sad072008</v>
      </c>
      <c r="L623">
        <f>VLOOKUP(K623,BheightCalcs!I$1:M$429, 5, FALSE)</f>
        <v>6.6222000000000003</v>
      </c>
      <c r="M623">
        <f>VLOOKUP(A623, BheightCalcs!P$1:S$39, 4, FALSE)</f>
        <v>11</v>
      </c>
    </row>
    <row r="624" spans="1:13" x14ac:dyDescent="0.2">
      <c r="A624" t="s">
        <v>111</v>
      </c>
      <c r="B624">
        <v>2008</v>
      </c>
      <c r="C624" t="s">
        <v>108</v>
      </c>
      <c r="D624" t="s">
        <v>15</v>
      </c>
      <c r="E624" t="s">
        <v>113</v>
      </c>
      <c r="F624">
        <v>36</v>
      </c>
      <c r="G624">
        <v>301</v>
      </c>
      <c r="H624" t="s">
        <v>7</v>
      </c>
      <c r="I624">
        <v>10</v>
      </c>
      <c r="J624" t="b">
        <v>1</v>
      </c>
      <c r="K624" t="str">
        <f t="shared" si="9"/>
        <v>sad072008</v>
      </c>
      <c r="L624">
        <f>VLOOKUP(K624,BheightCalcs!I$1:M$429, 5, FALSE)</f>
        <v>6.6222000000000003</v>
      </c>
      <c r="M624">
        <f>VLOOKUP(A624, BheightCalcs!P$1:S$39, 4, FALSE)</f>
        <v>11</v>
      </c>
    </row>
    <row r="625" spans="1:13" x14ac:dyDescent="0.2">
      <c r="A625" t="s">
        <v>111</v>
      </c>
      <c r="B625">
        <v>2009</v>
      </c>
      <c r="C625" t="s">
        <v>108</v>
      </c>
      <c r="D625" t="s">
        <v>15</v>
      </c>
      <c r="E625" t="s">
        <v>113</v>
      </c>
      <c r="F625">
        <v>42</v>
      </c>
      <c r="G625">
        <v>341</v>
      </c>
      <c r="H625" t="s">
        <v>7</v>
      </c>
      <c r="I625">
        <v>10</v>
      </c>
      <c r="J625" t="b">
        <v>1</v>
      </c>
      <c r="K625" t="str">
        <f t="shared" si="9"/>
        <v>sad072009</v>
      </c>
      <c r="L625">
        <f>VLOOKUP(K625,BheightCalcs!I$1:M$429, 5, FALSE)</f>
        <v>7.1469000000000005</v>
      </c>
      <c r="M625">
        <f>VLOOKUP(A625, BheightCalcs!P$1:S$39, 4, FALSE)</f>
        <v>11</v>
      </c>
    </row>
    <row r="626" spans="1:13" x14ac:dyDescent="0.2">
      <c r="A626" t="s">
        <v>111</v>
      </c>
      <c r="B626">
        <v>2009</v>
      </c>
      <c r="C626" t="s">
        <v>108</v>
      </c>
      <c r="D626" t="s">
        <v>12</v>
      </c>
      <c r="E626" t="s">
        <v>112</v>
      </c>
      <c r="F626">
        <v>42</v>
      </c>
      <c r="G626">
        <v>341</v>
      </c>
      <c r="H626" t="s">
        <v>7</v>
      </c>
      <c r="I626">
        <v>10</v>
      </c>
      <c r="J626" t="b">
        <v>1</v>
      </c>
      <c r="K626" t="str">
        <f t="shared" si="9"/>
        <v>sad072009</v>
      </c>
      <c r="L626">
        <f>VLOOKUP(K626,BheightCalcs!I$1:M$429, 5, FALSE)</f>
        <v>7.1469000000000005</v>
      </c>
      <c r="M626">
        <f>VLOOKUP(A626, BheightCalcs!P$1:S$39, 4, FALSE)</f>
        <v>11</v>
      </c>
    </row>
    <row r="627" spans="1:13" x14ac:dyDescent="0.2">
      <c r="A627" t="s">
        <v>111</v>
      </c>
      <c r="B627">
        <v>2010</v>
      </c>
      <c r="C627" t="s">
        <v>108</v>
      </c>
      <c r="D627" t="s">
        <v>15</v>
      </c>
      <c r="E627" t="s">
        <v>113</v>
      </c>
      <c r="F627">
        <v>41</v>
      </c>
      <c r="G627">
        <v>296</v>
      </c>
      <c r="H627" t="s">
        <v>7</v>
      </c>
      <c r="I627">
        <v>10</v>
      </c>
      <c r="J627" t="b">
        <v>1</v>
      </c>
      <c r="K627" t="str">
        <f t="shared" si="9"/>
        <v>sad072010</v>
      </c>
      <c r="L627">
        <f>VLOOKUP(K627,BheightCalcs!I$1:M$429, 5, FALSE)</f>
        <v>7.820450000000001</v>
      </c>
      <c r="M627">
        <f>VLOOKUP(A627, BheightCalcs!P$1:S$39, 4, FALSE)</f>
        <v>11</v>
      </c>
    </row>
    <row r="628" spans="1:13" x14ac:dyDescent="0.2">
      <c r="A628" t="s">
        <v>111</v>
      </c>
      <c r="B628">
        <v>2010</v>
      </c>
      <c r="C628" t="s">
        <v>108</v>
      </c>
      <c r="D628" t="s">
        <v>12</v>
      </c>
      <c r="E628" t="s">
        <v>112</v>
      </c>
      <c r="F628">
        <v>41</v>
      </c>
      <c r="G628">
        <v>296</v>
      </c>
      <c r="H628" t="s">
        <v>7</v>
      </c>
      <c r="I628">
        <v>10</v>
      </c>
      <c r="J628" t="b">
        <v>1</v>
      </c>
      <c r="K628" t="str">
        <f t="shared" si="9"/>
        <v>sad072010</v>
      </c>
      <c r="L628">
        <f>VLOOKUP(K628,BheightCalcs!I$1:M$429, 5, FALSE)</f>
        <v>7.820450000000001</v>
      </c>
      <c r="M628">
        <f>VLOOKUP(A628, BheightCalcs!P$1:S$39, 4, FALSE)</f>
        <v>11</v>
      </c>
    </row>
    <row r="629" spans="1:13" x14ac:dyDescent="0.2">
      <c r="A629" t="s">
        <v>111</v>
      </c>
      <c r="B629">
        <v>2011</v>
      </c>
      <c r="C629" t="s">
        <v>108</v>
      </c>
      <c r="D629" t="s">
        <v>12</v>
      </c>
      <c r="E629" t="s">
        <v>112</v>
      </c>
      <c r="F629">
        <v>47</v>
      </c>
      <c r="G629">
        <v>337</v>
      </c>
      <c r="H629" t="s">
        <v>7</v>
      </c>
      <c r="I629">
        <v>10</v>
      </c>
      <c r="J629" t="b">
        <v>1</v>
      </c>
      <c r="K629" t="str">
        <f t="shared" si="9"/>
        <v>sad072011</v>
      </c>
      <c r="L629">
        <f>VLOOKUP(K629,BheightCalcs!I$1:M$429, 5, FALSE)</f>
        <v>8.4738000000000007</v>
      </c>
      <c r="M629">
        <f>VLOOKUP(A629, BheightCalcs!P$1:S$39, 4, FALSE)</f>
        <v>11</v>
      </c>
    </row>
    <row r="630" spans="1:13" x14ac:dyDescent="0.2">
      <c r="A630" t="s">
        <v>111</v>
      </c>
      <c r="B630">
        <v>2011</v>
      </c>
      <c r="C630" t="s">
        <v>108</v>
      </c>
      <c r="D630" t="s">
        <v>15</v>
      </c>
      <c r="E630" t="s">
        <v>113</v>
      </c>
      <c r="F630">
        <v>47</v>
      </c>
      <c r="G630">
        <v>337</v>
      </c>
      <c r="H630" t="s">
        <v>7</v>
      </c>
      <c r="I630">
        <v>10</v>
      </c>
      <c r="J630" t="b">
        <v>1</v>
      </c>
      <c r="K630" t="str">
        <f t="shared" si="9"/>
        <v>sad072011</v>
      </c>
      <c r="L630">
        <f>VLOOKUP(K630,BheightCalcs!I$1:M$429, 5, FALSE)</f>
        <v>8.4738000000000007</v>
      </c>
      <c r="M630">
        <f>VLOOKUP(A630, BheightCalcs!P$1:S$39, 4, FALSE)</f>
        <v>11</v>
      </c>
    </row>
    <row r="631" spans="1:13" x14ac:dyDescent="0.2">
      <c r="A631" t="s">
        <v>111</v>
      </c>
      <c r="B631">
        <v>2012</v>
      </c>
      <c r="C631" t="s">
        <v>108</v>
      </c>
      <c r="D631" t="s">
        <v>12</v>
      </c>
      <c r="E631" t="s">
        <v>112</v>
      </c>
      <c r="F631">
        <v>23</v>
      </c>
      <c r="G631">
        <v>299</v>
      </c>
      <c r="H631" t="s">
        <v>7</v>
      </c>
      <c r="I631">
        <v>10</v>
      </c>
      <c r="J631" t="b">
        <v>1</v>
      </c>
      <c r="K631" t="str">
        <f t="shared" si="9"/>
        <v>sad072012</v>
      </c>
      <c r="L631">
        <f>VLOOKUP(K631,BheightCalcs!I$1:M$429, 5, FALSE)</f>
        <v>9.2154500000000006</v>
      </c>
      <c r="M631">
        <f>VLOOKUP(A631, BheightCalcs!P$1:S$39, 4, FALSE)</f>
        <v>11</v>
      </c>
    </row>
    <row r="632" spans="1:13" x14ac:dyDescent="0.2">
      <c r="A632" t="s">
        <v>111</v>
      </c>
      <c r="B632">
        <v>2012</v>
      </c>
      <c r="C632" t="s">
        <v>108</v>
      </c>
      <c r="D632" t="s">
        <v>15</v>
      </c>
      <c r="E632" t="s">
        <v>113</v>
      </c>
      <c r="F632">
        <v>23</v>
      </c>
      <c r="G632">
        <v>299</v>
      </c>
      <c r="H632" t="s">
        <v>7</v>
      </c>
      <c r="I632">
        <v>10</v>
      </c>
      <c r="J632" t="b">
        <v>1</v>
      </c>
      <c r="K632" t="str">
        <f t="shared" si="9"/>
        <v>sad072012</v>
      </c>
      <c r="L632">
        <f>VLOOKUP(K632,BheightCalcs!I$1:M$429, 5, FALSE)</f>
        <v>9.2154500000000006</v>
      </c>
      <c r="M632">
        <f>VLOOKUP(A632, BheightCalcs!P$1:S$39, 4, FALSE)</f>
        <v>11</v>
      </c>
    </row>
    <row r="633" spans="1:13" x14ac:dyDescent="0.2">
      <c r="A633" t="s">
        <v>111</v>
      </c>
      <c r="B633">
        <v>2013</v>
      </c>
      <c r="C633" t="s">
        <v>108</v>
      </c>
      <c r="D633" t="s">
        <v>12</v>
      </c>
      <c r="E633" t="s">
        <v>112</v>
      </c>
      <c r="F633">
        <v>20</v>
      </c>
      <c r="G633">
        <v>299</v>
      </c>
      <c r="H633" t="s">
        <v>7</v>
      </c>
      <c r="I633">
        <v>10</v>
      </c>
      <c r="J633" t="b">
        <v>1</v>
      </c>
      <c r="K633" t="str">
        <f t="shared" si="9"/>
        <v>sad072013</v>
      </c>
      <c r="L633">
        <f>VLOOKUP(K633,BheightCalcs!I$1:M$429, 5, FALSE)</f>
        <v>10</v>
      </c>
      <c r="M633">
        <f>VLOOKUP(A633, BheightCalcs!P$1:S$39, 4, FALSE)</f>
        <v>11</v>
      </c>
    </row>
    <row r="634" spans="1:13" x14ac:dyDescent="0.2">
      <c r="A634" t="s">
        <v>111</v>
      </c>
      <c r="B634">
        <v>2013</v>
      </c>
      <c r="C634" t="s">
        <v>108</v>
      </c>
      <c r="D634" t="s">
        <v>15</v>
      </c>
      <c r="E634" t="s">
        <v>113</v>
      </c>
      <c r="F634">
        <v>20</v>
      </c>
      <c r="G634">
        <v>299</v>
      </c>
      <c r="H634" t="s">
        <v>7</v>
      </c>
      <c r="I634">
        <v>10</v>
      </c>
      <c r="J634" t="b">
        <v>1</v>
      </c>
      <c r="K634" t="str">
        <f t="shared" si="9"/>
        <v>sad072013</v>
      </c>
      <c r="L634">
        <f>VLOOKUP(K634,BheightCalcs!I$1:M$429, 5, FALSE)</f>
        <v>10</v>
      </c>
      <c r="M634">
        <f>VLOOKUP(A634, BheightCalcs!P$1:S$39, 4, FALSE)</f>
        <v>11</v>
      </c>
    </row>
    <row r="635" spans="1:13" x14ac:dyDescent="0.2">
      <c r="A635" t="s">
        <v>114</v>
      </c>
      <c r="B635">
        <v>2001</v>
      </c>
      <c r="C635" t="s">
        <v>108</v>
      </c>
      <c r="D635" t="s">
        <v>15</v>
      </c>
      <c r="E635" t="s">
        <v>115</v>
      </c>
      <c r="F635">
        <v>35</v>
      </c>
      <c r="G635">
        <v>294</v>
      </c>
      <c r="H635" t="s">
        <v>7</v>
      </c>
      <c r="I635">
        <v>11</v>
      </c>
      <c r="J635" t="b">
        <v>1</v>
      </c>
      <c r="K635" t="str">
        <f t="shared" si="9"/>
        <v>sad082001</v>
      </c>
      <c r="L635">
        <f>VLOOKUP(K635,BheightCalcs!I$1:M$429, 5, FALSE)</f>
        <v>3.6244999999999989</v>
      </c>
      <c r="M635">
        <f>VLOOKUP(A635, BheightCalcs!P$1:S$39, 4, FALSE)</f>
        <v>12</v>
      </c>
    </row>
    <row r="636" spans="1:13" x14ac:dyDescent="0.2">
      <c r="A636" t="s">
        <v>114</v>
      </c>
      <c r="B636">
        <v>2001</v>
      </c>
      <c r="C636" t="s">
        <v>108</v>
      </c>
      <c r="D636" t="s">
        <v>12</v>
      </c>
      <c r="E636" t="s">
        <v>116</v>
      </c>
      <c r="F636">
        <v>35</v>
      </c>
      <c r="G636">
        <v>294</v>
      </c>
      <c r="H636" t="s">
        <v>7</v>
      </c>
      <c r="I636">
        <v>11</v>
      </c>
      <c r="J636" t="b">
        <v>1</v>
      </c>
      <c r="K636" t="str">
        <f t="shared" si="9"/>
        <v>sad082001</v>
      </c>
      <c r="L636">
        <f>VLOOKUP(K636,BheightCalcs!I$1:M$429, 5, FALSE)</f>
        <v>3.6244999999999989</v>
      </c>
      <c r="M636">
        <f>VLOOKUP(A636, BheightCalcs!P$1:S$39, 4, FALSE)</f>
        <v>12</v>
      </c>
    </row>
    <row r="637" spans="1:13" x14ac:dyDescent="0.2">
      <c r="A637" t="s">
        <v>114</v>
      </c>
      <c r="B637">
        <v>2002</v>
      </c>
      <c r="C637" t="s">
        <v>108</v>
      </c>
      <c r="D637" t="s">
        <v>15</v>
      </c>
      <c r="E637" t="s">
        <v>115</v>
      </c>
      <c r="F637">
        <v>38</v>
      </c>
      <c r="G637">
        <v>312</v>
      </c>
      <c r="H637" t="s">
        <v>7</v>
      </c>
      <c r="I637">
        <v>11</v>
      </c>
      <c r="J637" t="b">
        <v>1</v>
      </c>
      <c r="K637" t="str">
        <f t="shared" si="9"/>
        <v>sad082002</v>
      </c>
      <c r="L637">
        <f>VLOOKUP(K637,BheightCalcs!I$1:M$429, 5, FALSE)</f>
        <v>4.205449999999999</v>
      </c>
      <c r="M637">
        <f>VLOOKUP(A637, BheightCalcs!P$1:S$39, 4, FALSE)</f>
        <v>12</v>
      </c>
    </row>
    <row r="638" spans="1:13" x14ac:dyDescent="0.2">
      <c r="A638" t="s">
        <v>114</v>
      </c>
      <c r="B638">
        <v>2002</v>
      </c>
      <c r="C638" t="s">
        <v>108</v>
      </c>
      <c r="D638" t="s">
        <v>12</v>
      </c>
      <c r="E638" t="s">
        <v>116</v>
      </c>
      <c r="F638">
        <v>38</v>
      </c>
      <c r="G638">
        <v>312</v>
      </c>
      <c r="H638" t="s">
        <v>7</v>
      </c>
      <c r="I638">
        <v>11</v>
      </c>
      <c r="J638" t="b">
        <v>1</v>
      </c>
      <c r="K638" t="str">
        <f t="shared" si="9"/>
        <v>sad082002</v>
      </c>
      <c r="L638">
        <f>VLOOKUP(K638,BheightCalcs!I$1:M$429, 5, FALSE)</f>
        <v>4.205449999999999</v>
      </c>
      <c r="M638">
        <f>VLOOKUP(A638, BheightCalcs!P$1:S$39, 4, FALSE)</f>
        <v>12</v>
      </c>
    </row>
    <row r="639" spans="1:13" x14ac:dyDescent="0.2">
      <c r="A639" t="s">
        <v>114</v>
      </c>
      <c r="B639">
        <v>2003</v>
      </c>
      <c r="C639" t="s">
        <v>108</v>
      </c>
      <c r="D639" t="s">
        <v>12</v>
      </c>
      <c r="E639" t="s">
        <v>116</v>
      </c>
      <c r="F639">
        <v>29</v>
      </c>
      <c r="G639">
        <v>330</v>
      </c>
      <c r="H639" t="s">
        <v>7</v>
      </c>
      <c r="I639">
        <v>11</v>
      </c>
      <c r="J639" t="b">
        <v>1</v>
      </c>
      <c r="K639" t="str">
        <f t="shared" si="9"/>
        <v>sad082003</v>
      </c>
      <c r="L639">
        <f>VLOOKUP(K639,BheightCalcs!I$1:M$429, 5, FALSE)</f>
        <v>4.7425999999999995</v>
      </c>
      <c r="M639">
        <f>VLOOKUP(A639, BheightCalcs!P$1:S$39, 4, FALSE)</f>
        <v>12</v>
      </c>
    </row>
    <row r="640" spans="1:13" x14ac:dyDescent="0.2">
      <c r="A640" t="s">
        <v>114</v>
      </c>
      <c r="B640">
        <v>2003</v>
      </c>
      <c r="C640" t="s">
        <v>108</v>
      </c>
      <c r="D640" t="s">
        <v>15</v>
      </c>
      <c r="E640" t="s">
        <v>115</v>
      </c>
      <c r="F640">
        <v>29</v>
      </c>
      <c r="G640">
        <v>330</v>
      </c>
      <c r="H640" t="s">
        <v>7</v>
      </c>
      <c r="I640">
        <v>11</v>
      </c>
      <c r="J640" t="b">
        <v>1</v>
      </c>
      <c r="K640" t="str">
        <f t="shared" si="9"/>
        <v>sad082003</v>
      </c>
      <c r="L640">
        <f>VLOOKUP(K640,BheightCalcs!I$1:M$429, 5, FALSE)</f>
        <v>4.7425999999999995</v>
      </c>
      <c r="M640">
        <f>VLOOKUP(A640, BheightCalcs!P$1:S$39, 4, FALSE)</f>
        <v>12</v>
      </c>
    </row>
    <row r="641" spans="1:13" x14ac:dyDescent="0.2">
      <c r="A641" t="s">
        <v>114</v>
      </c>
      <c r="B641">
        <v>2004</v>
      </c>
      <c r="C641" t="s">
        <v>108</v>
      </c>
      <c r="D641" t="s">
        <v>15</v>
      </c>
      <c r="E641" t="s">
        <v>115</v>
      </c>
      <c r="F641">
        <v>39</v>
      </c>
      <c r="G641">
        <v>296</v>
      </c>
      <c r="H641" t="s">
        <v>7</v>
      </c>
      <c r="I641">
        <v>11</v>
      </c>
      <c r="J641" t="b">
        <v>1</v>
      </c>
      <c r="K641" t="str">
        <f t="shared" si="9"/>
        <v>sad082004</v>
      </c>
      <c r="L641">
        <f>VLOOKUP(K641,BheightCalcs!I$1:M$429, 5, FALSE)</f>
        <v>5.3908999999999994</v>
      </c>
      <c r="M641">
        <f>VLOOKUP(A641, BheightCalcs!P$1:S$39, 4, FALSE)</f>
        <v>12</v>
      </c>
    </row>
    <row r="642" spans="1:13" x14ac:dyDescent="0.2">
      <c r="A642" t="s">
        <v>114</v>
      </c>
      <c r="B642">
        <v>2004</v>
      </c>
      <c r="C642" t="s">
        <v>108</v>
      </c>
      <c r="D642" t="s">
        <v>12</v>
      </c>
      <c r="E642" t="s">
        <v>116</v>
      </c>
      <c r="F642">
        <v>39</v>
      </c>
      <c r="G642">
        <v>296</v>
      </c>
      <c r="H642" t="s">
        <v>7</v>
      </c>
      <c r="I642">
        <v>11</v>
      </c>
      <c r="J642" t="b">
        <v>1</v>
      </c>
      <c r="K642" t="str">
        <f t="shared" si="9"/>
        <v>sad082004</v>
      </c>
      <c r="L642">
        <f>VLOOKUP(K642,BheightCalcs!I$1:M$429, 5, FALSE)</f>
        <v>5.3908999999999994</v>
      </c>
      <c r="M642">
        <f>VLOOKUP(A642, BheightCalcs!P$1:S$39, 4, FALSE)</f>
        <v>12</v>
      </c>
    </row>
    <row r="643" spans="1:13" x14ac:dyDescent="0.2">
      <c r="A643" t="s">
        <v>114</v>
      </c>
      <c r="B643">
        <v>2005</v>
      </c>
      <c r="C643" t="s">
        <v>108</v>
      </c>
      <c r="D643" t="s">
        <v>12</v>
      </c>
      <c r="E643" t="s">
        <v>116</v>
      </c>
      <c r="F643">
        <v>40</v>
      </c>
      <c r="G643">
        <v>306</v>
      </c>
      <c r="H643" t="s">
        <v>7</v>
      </c>
      <c r="I643">
        <v>11</v>
      </c>
      <c r="J643" t="b">
        <v>1</v>
      </c>
      <c r="K643" t="str">
        <f t="shared" ref="K643:K706" si="10">CONCATENATE(A643, B643)</f>
        <v>sad082005</v>
      </c>
      <c r="L643">
        <f>VLOOKUP(K643,BheightCalcs!I$1:M$429, 5, FALSE)</f>
        <v>6.1449999999999996</v>
      </c>
      <c r="M643">
        <f>VLOOKUP(A643, BheightCalcs!P$1:S$39, 4, FALSE)</f>
        <v>12</v>
      </c>
    </row>
    <row r="644" spans="1:13" x14ac:dyDescent="0.2">
      <c r="A644" t="s">
        <v>114</v>
      </c>
      <c r="B644">
        <v>2005</v>
      </c>
      <c r="C644" t="s">
        <v>108</v>
      </c>
      <c r="D644" t="s">
        <v>15</v>
      </c>
      <c r="E644" t="s">
        <v>115</v>
      </c>
      <c r="F644">
        <v>40</v>
      </c>
      <c r="G644">
        <v>306</v>
      </c>
      <c r="H644" t="s">
        <v>7</v>
      </c>
      <c r="I644">
        <v>11</v>
      </c>
      <c r="J644" t="b">
        <v>1</v>
      </c>
      <c r="K644" t="str">
        <f t="shared" si="10"/>
        <v>sad082005</v>
      </c>
      <c r="L644">
        <f>VLOOKUP(K644,BheightCalcs!I$1:M$429, 5, FALSE)</f>
        <v>6.1449999999999996</v>
      </c>
      <c r="M644">
        <f>VLOOKUP(A644, BheightCalcs!P$1:S$39, 4, FALSE)</f>
        <v>12</v>
      </c>
    </row>
    <row r="645" spans="1:13" x14ac:dyDescent="0.2">
      <c r="A645" t="s">
        <v>114</v>
      </c>
      <c r="B645">
        <v>2006</v>
      </c>
      <c r="C645" t="s">
        <v>108</v>
      </c>
      <c r="D645" t="s">
        <v>15</v>
      </c>
      <c r="E645" t="s">
        <v>115</v>
      </c>
      <c r="F645">
        <v>21</v>
      </c>
      <c r="G645">
        <v>320</v>
      </c>
      <c r="H645" t="s">
        <v>7</v>
      </c>
      <c r="I645">
        <v>11</v>
      </c>
      <c r="J645" t="b">
        <v>1</v>
      </c>
      <c r="K645" t="str">
        <f t="shared" si="10"/>
        <v>sad082006</v>
      </c>
      <c r="L645">
        <f>VLOOKUP(K645,BheightCalcs!I$1:M$429, 5, FALSE)</f>
        <v>6.9656999999999991</v>
      </c>
      <c r="M645">
        <f>VLOOKUP(A645, BheightCalcs!P$1:S$39, 4, FALSE)</f>
        <v>12</v>
      </c>
    </row>
    <row r="646" spans="1:13" x14ac:dyDescent="0.2">
      <c r="A646" t="s">
        <v>114</v>
      </c>
      <c r="B646">
        <v>2006</v>
      </c>
      <c r="C646" t="s">
        <v>108</v>
      </c>
      <c r="D646" t="s">
        <v>12</v>
      </c>
      <c r="E646" t="s">
        <v>116</v>
      </c>
      <c r="F646">
        <v>21</v>
      </c>
      <c r="G646">
        <v>320</v>
      </c>
      <c r="H646" t="s">
        <v>7</v>
      </c>
      <c r="I646">
        <v>11</v>
      </c>
      <c r="J646" t="b">
        <v>1</v>
      </c>
      <c r="K646" t="str">
        <f t="shared" si="10"/>
        <v>sad082006</v>
      </c>
      <c r="L646">
        <f>VLOOKUP(K646,BheightCalcs!I$1:M$429, 5, FALSE)</f>
        <v>6.9656999999999991</v>
      </c>
      <c r="M646">
        <f>VLOOKUP(A646, BheightCalcs!P$1:S$39, 4, FALSE)</f>
        <v>12</v>
      </c>
    </row>
    <row r="647" spans="1:13" x14ac:dyDescent="0.2">
      <c r="A647" t="s">
        <v>114</v>
      </c>
      <c r="B647">
        <v>2007</v>
      </c>
      <c r="C647" t="s">
        <v>108</v>
      </c>
      <c r="D647" t="s">
        <v>12</v>
      </c>
      <c r="E647" t="s">
        <v>116</v>
      </c>
      <c r="F647">
        <v>7</v>
      </c>
      <c r="G647">
        <v>313</v>
      </c>
      <c r="H647" t="s">
        <v>7</v>
      </c>
      <c r="I647">
        <v>11</v>
      </c>
      <c r="J647" t="b">
        <v>1</v>
      </c>
      <c r="K647" t="str">
        <f t="shared" si="10"/>
        <v>sad082007</v>
      </c>
      <c r="L647">
        <f>VLOOKUP(K647,BheightCalcs!I$1:M$429, 5, FALSE)</f>
        <v>7.4947499999999989</v>
      </c>
      <c r="M647">
        <f>VLOOKUP(A647, BheightCalcs!P$1:S$39, 4, FALSE)</f>
        <v>12</v>
      </c>
    </row>
    <row r="648" spans="1:13" x14ac:dyDescent="0.2">
      <c r="A648" t="s">
        <v>114</v>
      </c>
      <c r="B648">
        <v>2007</v>
      </c>
      <c r="C648" t="s">
        <v>108</v>
      </c>
      <c r="D648" t="s">
        <v>15</v>
      </c>
      <c r="E648" t="s">
        <v>115</v>
      </c>
      <c r="F648">
        <v>7</v>
      </c>
      <c r="G648">
        <v>313</v>
      </c>
      <c r="H648" t="s">
        <v>7</v>
      </c>
      <c r="I648">
        <v>11</v>
      </c>
      <c r="J648" t="b">
        <v>1</v>
      </c>
      <c r="K648" t="str">
        <f t="shared" si="10"/>
        <v>sad082007</v>
      </c>
      <c r="L648">
        <f>VLOOKUP(K648,BheightCalcs!I$1:M$429, 5, FALSE)</f>
        <v>7.4947499999999989</v>
      </c>
      <c r="M648">
        <f>VLOOKUP(A648, BheightCalcs!P$1:S$39, 4, FALSE)</f>
        <v>12</v>
      </c>
    </row>
    <row r="649" spans="1:13" x14ac:dyDescent="0.2">
      <c r="A649" t="s">
        <v>114</v>
      </c>
      <c r="B649">
        <v>2008</v>
      </c>
      <c r="C649" t="s">
        <v>108</v>
      </c>
      <c r="D649" t="s">
        <v>12</v>
      </c>
      <c r="E649" t="s">
        <v>116</v>
      </c>
      <c r="F649">
        <v>36</v>
      </c>
      <c r="G649">
        <v>301</v>
      </c>
      <c r="H649" t="s">
        <v>7</v>
      </c>
      <c r="I649">
        <v>11</v>
      </c>
      <c r="J649" t="b">
        <v>1</v>
      </c>
      <c r="K649" t="str">
        <f t="shared" si="10"/>
        <v>sad082008</v>
      </c>
      <c r="L649">
        <f>VLOOKUP(K649,BheightCalcs!I$1:M$429, 5, FALSE)</f>
        <v>8.059899999999999</v>
      </c>
      <c r="M649">
        <f>VLOOKUP(A649, BheightCalcs!P$1:S$39, 4, FALSE)</f>
        <v>12</v>
      </c>
    </row>
    <row r="650" spans="1:13" x14ac:dyDescent="0.2">
      <c r="A650" t="s">
        <v>114</v>
      </c>
      <c r="B650">
        <v>2008</v>
      </c>
      <c r="C650" t="s">
        <v>108</v>
      </c>
      <c r="D650" t="s">
        <v>15</v>
      </c>
      <c r="E650" t="s">
        <v>115</v>
      </c>
      <c r="F650">
        <v>36</v>
      </c>
      <c r="G650">
        <v>301</v>
      </c>
      <c r="H650" t="s">
        <v>7</v>
      </c>
      <c r="I650">
        <v>11</v>
      </c>
      <c r="J650" t="b">
        <v>1</v>
      </c>
      <c r="K650" t="str">
        <f t="shared" si="10"/>
        <v>sad082008</v>
      </c>
      <c r="L650">
        <f>VLOOKUP(K650,BheightCalcs!I$1:M$429, 5, FALSE)</f>
        <v>8.059899999999999</v>
      </c>
      <c r="M650">
        <f>VLOOKUP(A650, BheightCalcs!P$1:S$39, 4, FALSE)</f>
        <v>12</v>
      </c>
    </row>
    <row r="651" spans="1:13" x14ac:dyDescent="0.2">
      <c r="A651" t="s">
        <v>114</v>
      </c>
      <c r="B651">
        <v>2009</v>
      </c>
      <c r="C651" t="s">
        <v>108</v>
      </c>
      <c r="D651" t="s">
        <v>12</v>
      </c>
      <c r="E651" t="s">
        <v>116</v>
      </c>
      <c r="F651">
        <v>42</v>
      </c>
      <c r="G651">
        <v>341</v>
      </c>
      <c r="H651" t="s">
        <v>7</v>
      </c>
      <c r="I651">
        <v>11</v>
      </c>
      <c r="J651" t="b">
        <v>1</v>
      </c>
      <c r="K651" t="str">
        <f t="shared" si="10"/>
        <v>sad082009</v>
      </c>
      <c r="L651">
        <f>VLOOKUP(K651,BheightCalcs!I$1:M$429, 5, FALSE)</f>
        <v>8.7307499999999987</v>
      </c>
      <c r="M651">
        <f>VLOOKUP(A651, BheightCalcs!P$1:S$39, 4, FALSE)</f>
        <v>12</v>
      </c>
    </row>
    <row r="652" spans="1:13" x14ac:dyDescent="0.2">
      <c r="A652" t="s">
        <v>114</v>
      </c>
      <c r="B652">
        <v>2009</v>
      </c>
      <c r="C652" t="s">
        <v>108</v>
      </c>
      <c r="D652" t="s">
        <v>15</v>
      </c>
      <c r="E652" t="s">
        <v>115</v>
      </c>
      <c r="F652">
        <v>42</v>
      </c>
      <c r="G652">
        <v>341</v>
      </c>
      <c r="H652" t="s">
        <v>7</v>
      </c>
      <c r="I652">
        <v>11</v>
      </c>
      <c r="J652" t="b">
        <v>1</v>
      </c>
      <c r="K652" t="str">
        <f t="shared" si="10"/>
        <v>sad082009</v>
      </c>
      <c r="L652">
        <f>VLOOKUP(K652,BheightCalcs!I$1:M$429, 5, FALSE)</f>
        <v>8.7307499999999987</v>
      </c>
      <c r="M652">
        <f>VLOOKUP(A652, BheightCalcs!P$1:S$39, 4, FALSE)</f>
        <v>12</v>
      </c>
    </row>
    <row r="653" spans="1:13" x14ac:dyDescent="0.2">
      <c r="A653" t="s">
        <v>114</v>
      </c>
      <c r="B653">
        <v>2010</v>
      </c>
      <c r="C653" t="s">
        <v>108</v>
      </c>
      <c r="D653" t="s">
        <v>12</v>
      </c>
      <c r="E653" t="s">
        <v>116</v>
      </c>
      <c r="F653">
        <v>41</v>
      </c>
      <c r="G653">
        <v>296</v>
      </c>
      <c r="H653" t="s">
        <v>7</v>
      </c>
      <c r="I653">
        <v>11</v>
      </c>
      <c r="J653" t="b">
        <v>1</v>
      </c>
      <c r="K653" t="str">
        <f t="shared" si="10"/>
        <v>sad082010</v>
      </c>
      <c r="L653">
        <f>VLOOKUP(K653,BheightCalcs!I$1:M$429, 5, FALSE)</f>
        <v>9.3928499999999993</v>
      </c>
      <c r="M653">
        <f>VLOOKUP(A653, BheightCalcs!P$1:S$39, 4, FALSE)</f>
        <v>12</v>
      </c>
    </row>
    <row r="654" spans="1:13" x14ac:dyDescent="0.2">
      <c r="A654" t="s">
        <v>114</v>
      </c>
      <c r="B654">
        <v>2010</v>
      </c>
      <c r="C654" t="s">
        <v>108</v>
      </c>
      <c r="D654" t="s">
        <v>15</v>
      </c>
      <c r="E654" t="s">
        <v>115</v>
      </c>
      <c r="F654">
        <v>41</v>
      </c>
      <c r="G654">
        <v>296</v>
      </c>
      <c r="H654" t="s">
        <v>7</v>
      </c>
      <c r="I654">
        <v>11</v>
      </c>
      <c r="J654" t="b">
        <v>1</v>
      </c>
      <c r="K654" t="str">
        <f t="shared" si="10"/>
        <v>sad082010</v>
      </c>
      <c r="L654">
        <f>VLOOKUP(K654,BheightCalcs!I$1:M$429, 5, FALSE)</f>
        <v>9.3928499999999993</v>
      </c>
      <c r="M654">
        <f>VLOOKUP(A654, BheightCalcs!P$1:S$39, 4, FALSE)</f>
        <v>12</v>
      </c>
    </row>
    <row r="655" spans="1:13" x14ac:dyDescent="0.2">
      <c r="A655" t="s">
        <v>114</v>
      </c>
      <c r="B655">
        <v>2011</v>
      </c>
      <c r="C655" t="s">
        <v>108</v>
      </c>
      <c r="D655" t="s">
        <v>12</v>
      </c>
      <c r="E655" t="s">
        <v>116</v>
      </c>
      <c r="F655">
        <v>47</v>
      </c>
      <c r="G655">
        <v>337</v>
      </c>
      <c r="H655" t="s">
        <v>7</v>
      </c>
      <c r="I655">
        <v>11</v>
      </c>
      <c r="J655" t="b">
        <v>1</v>
      </c>
      <c r="K655" t="str">
        <f t="shared" si="10"/>
        <v>sad082011</v>
      </c>
      <c r="L655">
        <f>VLOOKUP(K655,BheightCalcs!I$1:M$429, 5, FALSE)</f>
        <v>9.8780999999999999</v>
      </c>
      <c r="M655">
        <f>VLOOKUP(A655, BheightCalcs!P$1:S$39, 4, FALSE)</f>
        <v>12</v>
      </c>
    </row>
    <row r="656" spans="1:13" x14ac:dyDescent="0.2">
      <c r="A656" t="s">
        <v>114</v>
      </c>
      <c r="B656">
        <v>2011</v>
      </c>
      <c r="C656" t="s">
        <v>108</v>
      </c>
      <c r="D656" t="s">
        <v>15</v>
      </c>
      <c r="E656" t="s">
        <v>115</v>
      </c>
      <c r="F656">
        <v>47</v>
      </c>
      <c r="G656">
        <v>337</v>
      </c>
      <c r="H656" t="s">
        <v>7</v>
      </c>
      <c r="I656">
        <v>11</v>
      </c>
      <c r="J656" t="b">
        <v>1</v>
      </c>
      <c r="K656" t="str">
        <f t="shared" si="10"/>
        <v>sad082011</v>
      </c>
      <c r="L656">
        <f>VLOOKUP(K656,BheightCalcs!I$1:M$429, 5, FALSE)</f>
        <v>9.8780999999999999</v>
      </c>
      <c r="M656">
        <f>VLOOKUP(A656, BheightCalcs!P$1:S$39, 4, FALSE)</f>
        <v>12</v>
      </c>
    </row>
    <row r="657" spans="1:13" x14ac:dyDescent="0.2">
      <c r="A657" t="s">
        <v>114</v>
      </c>
      <c r="B657">
        <v>2012</v>
      </c>
      <c r="C657" t="s">
        <v>108</v>
      </c>
      <c r="D657" t="s">
        <v>12</v>
      </c>
      <c r="E657" t="s">
        <v>116</v>
      </c>
      <c r="F657">
        <v>23</v>
      </c>
      <c r="G657">
        <v>299</v>
      </c>
      <c r="H657" t="s">
        <v>7</v>
      </c>
      <c r="I657">
        <v>11</v>
      </c>
      <c r="J657" t="b">
        <v>1</v>
      </c>
      <c r="K657" t="str">
        <f t="shared" si="10"/>
        <v>sad082012</v>
      </c>
      <c r="L657">
        <f>VLOOKUP(K657,BheightCalcs!I$1:M$429, 5, FALSE)</f>
        <v>10.4575</v>
      </c>
      <c r="M657">
        <f>VLOOKUP(A657, BheightCalcs!P$1:S$39, 4, FALSE)</f>
        <v>12</v>
      </c>
    </row>
    <row r="658" spans="1:13" x14ac:dyDescent="0.2">
      <c r="A658" t="s">
        <v>114</v>
      </c>
      <c r="B658">
        <v>2012</v>
      </c>
      <c r="C658" t="s">
        <v>108</v>
      </c>
      <c r="D658" t="s">
        <v>15</v>
      </c>
      <c r="E658" t="s">
        <v>115</v>
      </c>
      <c r="F658">
        <v>23</v>
      </c>
      <c r="G658">
        <v>299</v>
      </c>
      <c r="H658" t="s">
        <v>7</v>
      </c>
      <c r="I658">
        <v>11</v>
      </c>
      <c r="J658" t="b">
        <v>1</v>
      </c>
      <c r="K658" t="str">
        <f t="shared" si="10"/>
        <v>sad082012</v>
      </c>
      <c r="L658">
        <f>VLOOKUP(K658,BheightCalcs!I$1:M$429, 5, FALSE)</f>
        <v>10.4575</v>
      </c>
      <c r="M658">
        <f>VLOOKUP(A658, BheightCalcs!P$1:S$39, 4, FALSE)</f>
        <v>12</v>
      </c>
    </row>
    <row r="659" spans="1:13" x14ac:dyDescent="0.2">
      <c r="A659" t="s">
        <v>114</v>
      </c>
      <c r="B659">
        <v>2013</v>
      </c>
      <c r="C659" t="s">
        <v>108</v>
      </c>
      <c r="D659" t="s">
        <v>12</v>
      </c>
      <c r="E659" t="s">
        <v>116</v>
      </c>
      <c r="F659">
        <v>20</v>
      </c>
      <c r="G659">
        <v>299</v>
      </c>
      <c r="H659" t="s">
        <v>7</v>
      </c>
      <c r="I659">
        <v>11</v>
      </c>
      <c r="J659" t="b">
        <v>1</v>
      </c>
      <c r="K659" t="str">
        <f t="shared" si="10"/>
        <v>sad082013</v>
      </c>
      <c r="L659">
        <f>VLOOKUP(K659,BheightCalcs!I$1:M$429, 5, FALSE)</f>
        <v>11</v>
      </c>
      <c r="M659">
        <f>VLOOKUP(A659, BheightCalcs!P$1:S$39, 4, FALSE)</f>
        <v>12</v>
      </c>
    </row>
    <row r="660" spans="1:13" x14ac:dyDescent="0.2">
      <c r="A660" t="s">
        <v>114</v>
      </c>
      <c r="B660">
        <v>2013</v>
      </c>
      <c r="C660" t="s">
        <v>108</v>
      </c>
      <c r="D660" t="s">
        <v>15</v>
      </c>
      <c r="E660" t="s">
        <v>115</v>
      </c>
      <c r="F660">
        <v>20</v>
      </c>
      <c r="G660">
        <v>299</v>
      </c>
      <c r="H660" t="s">
        <v>7</v>
      </c>
      <c r="I660">
        <v>11</v>
      </c>
      <c r="J660" t="b">
        <v>1</v>
      </c>
      <c r="K660" t="str">
        <f t="shared" si="10"/>
        <v>sad082013</v>
      </c>
      <c r="L660">
        <f>VLOOKUP(K660,BheightCalcs!I$1:M$429, 5, FALSE)</f>
        <v>11</v>
      </c>
      <c r="M660">
        <f>VLOOKUP(A660, BheightCalcs!P$1:S$39, 4, FALSE)</f>
        <v>12</v>
      </c>
    </row>
    <row r="661" spans="1:13" x14ac:dyDescent="0.2">
      <c r="A661" t="s">
        <v>117</v>
      </c>
      <c r="B661">
        <v>2000</v>
      </c>
      <c r="C661" t="s">
        <v>108</v>
      </c>
      <c r="D661" t="s">
        <v>15</v>
      </c>
      <c r="E661" t="s">
        <v>118</v>
      </c>
      <c r="F661">
        <v>42</v>
      </c>
      <c r="G661">
        <v>290</v>
      </c>
      <c r="H661" t="s">
        <v>7</v>
      </c>
      <c r="I661">
        <v>9</v>
      </c>
      <c r="J661" t="b">
        <v>1</v>
      </c>
      <c r="K661" t="str">
        <f t="shared" si="10"/>
        <v>sad122000</v>
      </c>
      <c r="L661">
        <f>VLOOKUP(K661,BheightCalcs!I$1:M$429, 5, FALSE)</f>
        <v>1.7297999999999991</v>
      </c>
      <c r="M661">
        <f>VLOOKUP(A661, BheightCalcs!P$1:S$39, 4, FALSE)</f>
        <v>13</v>
      </c>
    </row>
    <row r="662" spans="1:13" x14ac:dyDescent="0.2">
      <c r="A662" t="s">
        <v>117</v>
      </c>
      <c r="B662">
        <v>2001</v>
      </c>
      <c r="C662" t="s">
        <v>108</v>
      </c>
      <c r="D662" t="s">
        <v>15</v>
      </c>
      <c r="E662" t="s">
        <v>118</v>
      </c>
      <c r="F662">
        <v>35</v>
      </c>
      <c r="G662">
        <v>294</v>
      </c>
      <c r="H662" t="s">
        <v>7</v>
      </c>
      <c r="I662">
        <v>9</v>
      </c>
      <c r="J662" t="b">
        <v>1</v>
      </c>
      <c r="K662" t="str">
        <f t="shared" si="10"/>
        <v>sad122001</v>
      </c>
      <c r="L662">
        <f>VLOOKUP(K662,BheightCalcs!I$1:M$429, 5, FALSE)</f>
        <v>2.415999999999999</v>
      </c>
      <c r="M662">
        <f>VLOOKUP(A662, BheightCalcs!P$1:S$39, 4, FALSE)</f>
        <v>13</v>
      </c>
    </row>
    <row r="663" spans="1:13" x14ac:dyDescent="0.2">
      <c r="A663" t="s">
        <v>117</v>
      </c>
      <c r="B663">
        <v>2002</v>
      </c>
      <c r="C663" t="s">
        <v>108</v>
      </c>
      <c r="D663" t="s">
        <v>15</v>
      </c>
      <c r="E663" t="s">
        <v>118</v>
      </c>
      <c r="F663">
        <v>38</v>
      </c>
      <c r="G663">
        <v>312</v>
      </c>
      <c r="H663" t="s">
        <v>7</v>
      </c>
      <c r="I663">
        <v>9</v>
      </c>
      <c r="J663" t="b">
        <v>1</v>
      </c>
      <c r="K663" t="str">
        <f t="shared" si="10"/>
        <v>sad122002</v>
      </c>
      <c r="L663">
        <f>VLOOKUP(K663,BheightCalcs!I$1:M$429, 5, FALSE)</f>
        <v>2.839799999999999</v>
      </c>
      <c r="M663">
        <f>VLOOKUP(A663, BheightCalcs!P$1:S$39, 4, FALSE)</f>
        <v>13</v>
      </c>
    </row>
    <row r="664" spans="1:13" x14ac:dyDescent="0.2">
      <c r="A664" t="s">
        <v>117</v>
      </c>
      <c r="B664">
        <v>2003</v>
      </c>
      <c r="C664" t="s">
        <v>108</v>
      </c>
      <c r="D664" t="s">
        <v>15</v>
      </c>
      <c r="E664" t="s">
        <v>118</v>
      </c>
      <c r="F664">
        <v>29</v>
      </c>
      <c r="G664">
        <v>330</v>
      </c>
      <c r="H664" t="s">
        <v>7</v>
      </c>
      <c r="I664">
        <v>9</v>
      </c>
      <c r="J664" t="b">
        <v>1</v>
      </c>
      <c r="K664" t="str">
        <f t="shared" si="10"/>
        <v>sad122003</v>
      </c>
      <c r="L664">
        <f>VLOOKUP(K664,BheightCalcs!I$1:M$429, 5, FALSE)</f>
        <v>3.2735999999999992</v>
      </c>
      <c r="M664">
        <f>VLOOKUP(A664, BheightCalcs!P$1:S$39, 4, FALSE)</f>
        <v>13</v>
      </c>
    </row>
    <row r="665" spans="1:13" x14ac:dyDescent="0.2">
      <c r="A665" t="s">
        <v>117</v>
      </c>
      <c r="B665">
        <v>2004</v>
      </c>
      <c r="C665" t="s">
        <v>108</v>
      </c>
      <c r="D665" t="s">
        <v>15</v>
      </c>
      <c r="E665" t="s">
        <v>118</v>
      </c>
      <c r="F665">
        <v>39</v>
      </c>
      <c r="G665">
        <v>296</v>
      </c>
      <c r="H665" t="s">
        <v>7</v>
      </c>
      <c r="I665">
        <v>9</v>
      </c>
      <c r="J665" t="b">
        <v>1</v>
      </c>
      <c r="K665" t="str">
        <f t="shared" si="10"/>
        <v>sad122004</v>
      </c>
      <c r="L665">
        <f>VLOOKUP(K665,BheightCalcs!I$1:M$429, 5, FALSE)</f>
        <v>3.6166999999999994</v>
      </c>
      <c r="M665">
        <f>VLOOKUP(A665, BheightCalcs!P$1:S$39, 4, FALSE)</f>
        <v>13</v>
      </c>
    </row>
    <row r="666" spans="1:13" x14ac:dyDescent="0.2">
      <c r="A666" t="s">
        <v>117</v>
      </c>
      <c r="B666">
        <v>2005</v>
      </c>
      <c r="C666" t="s">
        <v>108</v>
      </c>
      <c r="D666" t="s">
        <v>15</v>
      </c>
      <c r="E666" t="s">
        <v>118</v>
      </c>
      <c r="F666">
        <v>40</v>
      </c>
      <c r="G666">
        <v>306</v>
      </c>
      <c r="H666" t="s">
        <v>7</v>
      </c>
      <c r="I666">
        <v>9</v>
      </c>
      <c r="J666" t="b">
        <v>1</v>
      </c>
      <c r="K666" t="str">
        <f t="shared" si="10"/>
        <v>sad122005</v>
      </c>
      <c r="L666">
        <f>VLOOKUP(K666,BheightCalcs!I$1:M$429, 5, FALSE)</f>
        <v>3.9698999999999995</v>
      </c>
      <c r="M666">
        <f>VLOOKUP(A666, BheightCalcs!P$1:S$39, 4, FALSE)</f>
        <v>13</v>
      </c>
    </row>
    <row r="667" spans="1:13" x14ac:dyDescent="0.2">
      <c r="A667" t="s">
        <v>117</v>
      </c>
      <c r="B667">
        <v>2006</v>
      </c>
      <c r="C667" t="s">
        <v>108</v>
      </c>
      <c r="D667" t="s">
        <v>12</v>
      </c>
      <c r="E667" t="s">
        <v>119</v>
      </c>
      <c r="F667">
        <v>21</v>
      </c>
      <c r="G667">
        <v>320</v>
      </c>
      <c r="H667" t="s">
        <v>7</v>
      </c>
      <c r="I667">
        <v>9</v>
      </c>
      <c r="J667" t="b">
        <v>1</v>
      </c>
      <c r="K667" t="str">
        <f t="shared" si="10"/>
        <v>sad122006</v>
      </c>
      <c r="L667">
        <f>VLOOKUP(K667,BheightCalcs!I$1:M$429, 5, FALSE)</f>
        <v>4.6837999999999997</v>
      </c>
      <c r="M667">
        <f>VLOOKUP(A667, BheightCalcs!P$1:S$39, 4, FALSE)</f>
        <v>13</v>
      </c>
    </row>
    <row r="668" spans="1:13" x14ac:dyDescent="0.2">
      <c r="A668" t="s">
        <v>117</v>
      </c>
      <c r="B668">
        <v>2006</v>
      </c>
      <c r="C668" t="s">
        <v>108</v>
      </c>
      <c r="D668" t="s">
        <v>15</v>
      </c>
      <c r="E668" t="s">
        <v>118</v>
      </c>
      <c r="F668">
        <v>21</v>
      </c>
      <c r="G668">
        <v>320</v>
      </c>
      <c r="H668" t="s">
        <v>7</v>
      </c>
      <c r="I668">
        <v>9</v>
      </c>
      <c r="J668" t="b">
        <v>1</v>
      </c>
      <c r="K668" t="str">
        <f t="shared" si="10"/>
        <v>sad122006</v>
      </c>
      <c r="L668">
        <f>VLOOKUP(K668,BheightCalcs!I$1:M$429, 5, FALSE)</f>
        <v>4.6837999999999997</v>
      </c>
      <c r="M668">
        <f>VLOOKUP(A668, BheightCalcs!P$1:S$39, 4, FALSE)</f>
        <v>13</v>
      </c>
    </row>
    <row r="669" spans="1:13" x14ac:dyDescent="0.2">
      <c r="A669" t="s">
        <v>117</v>
      </c>
      <c r="B669">
        <v>2007</v>
      </c>
      <c r="C669" t="s">
        <v>108</v>
      </c>
      <c r="D669" t="s">
        <v>12</v>
      </c>
      <c r="E669" t="s">
        <v>119</v>
      </c>
      <c r="F669">
        <v>7</v>
      </c>
      <c r="G669">
        <v>313</v>
      </c>
      <c r="H669" t="s">
        <v>7</v>
      </c>
      <c r="I669">
        <v>9</v>
      </c>
      <c r="J669" t="b">
        <v>1</v>
      </c>
      <c r="K669" t="str">
        <f t="shared" si="10"/>
        <v>sad122007</v>
      </c>
      <c r="L669">
        <f>VLOOKUP(K669,BheightCalcs!I$1:M$429, 5, FALSE)</f>
        <v>5.2538999999999998</v>
      </c>
      <c r="M669">
        <f>VLOOKUP(A669, BheightCalcs!P$1:S$39, 4, FALSE)</f>
        <v>13</v>
      </c>
    </row>
    <row r="670" spans="1:13" x14ac:dyDescent="0.2">
      <c r="A670" t="s">
        <v>117</v>
      </c>
      <c r="B670">
        <v>2007</v>
      </c>
      <c r="C670" t="s">
        <v>108</v>
      </c>
      <c r="D670" t="s">
        <v>15</v>
      </c>
      <c r="E670" t="s">
        <v>118</v>
      </c>
      <c r="F670">
        <v>7</v>
      </c>
      <c r="G670">
        <v>313</v>
      </c>
      <c r="H670" t="s">
        <v>7</v>
      </c>
      <c r="I670">
        <v>9</v>
      </c>
      <c r="J670" t="b">
        <v>1</v>
      </c>
      <c r="K670" t="str">
        <f t="shared" si="10"/>
        <v>sad122007</v>
      </c>
      <c r="L670">
        <f>VLOOKUP(K670,BheightCalcs!I$1:M$429, 5, FALSE)</f>
        <v>5.2538999999999998</v>
      </c>
      <c r="M670">
        <f>VLOOKUP(A670, BheightCalcs!P$1:S$39, 4, FALSE)</f>
        <v>13</v>
      </c>
    </row>
    <row r="671" spans="1:13" x14ac:dyDescent="0.2">
      <c r="A671" t="s">
        <v>117</v>
      </c>
      <c r="B671">
        <v>2008</v>
      </c>
      <c r="C671" t="s">
        <v>108</v>
      </c>
      <c r="D671" t="s">
        <v>15</v>
      </c>
      <c r="E671" t="s">
        <v>118</v>
      </c>
      <c r="F671">
        <v>36</v>
      </c>
      <c r="G671">
        <v>301</v>
      </c>
      <c r="H671" t="s">
        <v>7</v>
      </c>
      <c r="I671">
        <v>9</v>
      </c>
      <c r="J671" t="b">
        <v>1</v>
      </c>
      <c r="K671" t="str">
        <f t="shared" si="10"/>
        <v>sad122008</v>
      </c>
      <c r="L671">
        <f>VLOOKUP(K671,BheightCalcs!I$1:M$429, 5, FALSE)</f>
        <v>5.9400500000000003</v>
      </c>
      <c r="M671">
        <f>VLOOKUP(A671, BheightCalcs!P$1:S$39, 4, FALSE)</f>
        <v>13</v>
      </c>
    </row>
    <row r="672" spans="1:13" x14ac:dyDescent="0.2">
      <c r="A672" t="s">
        <v>117</v>
      </c>
      <c r="B672">
        <v>2008</v>
      </c>
      <c r="C672" t="s">
        <v>108</v>
      </c>
      <c r="D672" t="s">
        <v>12</v>
      </c>
      <c r="E672" t="s">
        <v>119</v>
      </c>
      <c r="F672">
        <v>36</v>
      </c>
      <c r="G672">
        <v>301</v>
      </c>
      <c r="H672" t="s">
        <v>7</v>
      </c>
      <c r="I672">
        <v>9</v>
      </c>
      <c r="J672" t="b">
        <v>1</v>
      </c>
      <c r="K672" t="str">
        <f t="shared" si="10"/>
        <v>sad122008</v>
      </c>
      <c r="L672">
        <f>VLOOKUP(K672,BheightCalcs!I$1:M$429, 5, FALSE)</f>
        <v>5.9400500000000003</v>
      </c>
      <c r="M672">
        <f>VLOOKUP(A672, BheightCalcs!P$1:S$39, 4, FALSE)</f>
        <v>13</v>
      </c>
    </row>
    <row r="673" spans="1:13" x14ac:dyDescent="0.2">
      <c r="A673" t="s">
        <v>117</v>
      </c>
      <c r="B673">
        <v>2009</v>
      </c>
      <c r="C673" t="s">
        <v>108</v>
      </c>
      <c r="D673" t="s">
        <v>12</v>
      </c>
      <c r="E673" t="s">
        <v>119</v>
      </c>
      <c r="F673">
        <v>42</v>
      </c>
      <c r="G673">
        <v>341</v>
      </c>
      <c r="H673" t="s">
        <v>7</v>
      </c>
      <c r="I673">
        <v>9</v>
      </c>
      <c r="J673" t="b">
        <v>1</v>
      </c>
      <c r="K673" t="str">
        <f t="shared" si="10"/>
        <v>sad122009</v>
      </c>
      <c r="L673">
        <f>VLOOKUP(K673,BheightCalcs!I$1:M$429, 5, FALSE)</f>
        <v>6.49505</v>
      </c>
      <c r="M673">
        <f>VLOOKUP(A673, BheightCalcs!P$1:S$39, 4, FALSE)</f>
        <v>13</v>
      </c>
    </row>
    <row r="674" spans="1:13" x14ac:dyDescent="0.2">
      <c r="A674" t="s">
        <v>117</v>
      </c>
      <c r="B674">
        <v>2009</v>
      </c>
      <c r="C674" t="s">
        <v>108</v>
      </c>
      <c r="D674" t="s">
        <v>15</v>
      </c>
      <c r="E674" t="s">
        <v>118</v>
      </c>
      <c r="F674">
        <v>42</v>
      </c>
      <c r="G674">
        <v>341</v>
      </c>
      <c r="H674" t="s">
        <v>7</v>
      </c>
      <c r="I674">
        <v>9</v>
      </c>
      <c r="J674" t="b">
        <v>1</v>
      </c>
      <c r="K674" t="str">
        <f t="shared" si="10"/>
        <v>sad122009</v>
      </c>
      <c r="L674">
        <f>VLOOKUP(K674,BheightCalcs!I$1:M$429, 5, FALSE)</f>
        <v>6.49505</v>
      </c>
      <c r="M674">
        <f>VLOOKUP(A674, BheightCalcs!P$1:S$39, 4, FALSE)</f>
        <v>13</v>
      </c>
    </row>
    <row r="675" spans="1:13" x14ac:dyDescent="0.2">
      <c r="A675" t="s">
        <v>117</v>
      </c>
      <c r="B675">
        <v>2010</v>
      </c>
      <c r="C675" t="s">
        <v>108</v>
      </c>
      <c r="D675" t="s">
        <v>15</v>
      </c>
      <c r="E675" t="s">
        <v>118</v>
      </c>
      <c r="F675">
        <v>41</v>
      </c>
      <c r="G675">
        <v>296</v>
      </c>
      <c r="H675" t="s">
        <v>7</v>
      </c>
      <c r="I675">
        <v>9</v>
      </c>
      <c r="J675" t="b">
        <v>1</v>
      </c>
      <c r="K675" t="str">
        <f t="shared" si="10"/>
        <v>sad122010</v>
      </c>
      <c r="L675">
        <f>VLOOKUP(K675,BheightCalcs!I$1:M$429, 5, FALSE)</f>
        <v>7.3426499999999999</v>
      </c>
      <c r="M675">
        <f>VLOOKUP(A675, BheightCalcs!P$1:S$39, 4, FALSE)</f>
        <v>13</v>
      </c>
    </row>
    <row r="676" spans="1:13" x14ac:dyDescent="0.2">
      <c r="A676" t="s">
        <v>117</v>
      </c>
      <c r="B676">
        <v>2010</v>
      </c>
      <c r="C676" t="s">
        <v>108</v>
      </c>
      <c r="D676" t="s">
        <v>12</v>
      </c>
      <c r="E676" t="s">
        <v>119</v>
      </c>
      <c r="F676">
        <v>41</v>
      </c>
      <c r="G676">
        <v>296</v>
      </c>
      <c r="H676" t="s">
        <v>7</v>
      </c>
      <c r="I676">
        <v>9</v>
      </c>
      <c r="J676" t="b">
        <v>1</v>
      </c>
      <c r="K676" t="str">
        <f t="shared" si="10"/>
        <v>sad122010</v>
      </c>
      <c r="L676">
        <f>VLOOKUP(K676,BheightCalcs!I$1:M$429, 5, FALSE)</f>
        <v>7.3426499999999999</v>
      </c>
      <c r="M676">
        <f>VLOOKUP(A676, BheightCalcs!P$1:S$39, 4, FALSE)</f>
        <v>13</v>
      </c>
    </row>
    <row r="677" spans="1:13" x14ac:dyDescent="0.2">
      <c r="A677" t="s">
        <v>117</v>
      </c>
      <c r="B677">
        <v>2011</v>
      </c>
      <c r="C677" t="s">
        <v>108</v>
      </c>
      <c r="D677" t="s">
        <v>15</v>
      </c>
      <c r="E677" t="s">
        <v>118</v>
      </c>
      <c r="F677">
        <v>47</v>
      </c>
      <c r="G677">
        <v>337</v>
      </c>
      <c r="H677" t="s">
        <v>7</v>
      </c>
      <c r="I677">
        <v>9</v>
      </c>
      <c r="J677" t="b">
        <v>1</v>
      </c>
      <c r="K677" t="str">
        <f t="shared" si="10"/>
        <v>sad122011</v>
      </c>
      <c r="L677">
        <f>VLOOKUP(K677,BheightCalcs!I$1:M$429, 5, FALSE)</f>
        <v>7.8774499999999996</v>
      </c>
      <c r="M677">
        <f>VLOOKUP(A677, BheightCalcs!P$1:S$39, 4, FALSE)</f>
        <v>13</v>
      </c>
    </row>
    <row r="678" spans="1:13" x14ac:dyDescent="0.2">
      <c r="A678" t="s">
        <v>117</v>
      </c>
      <c r="B678">
        <v>2011</v>
      </c>
      <c r="C678" t="s">
        <v>108</v>
      </c>
      <c r="D678" t="s">
        <v>12</v>
      </c>
      <c r="E678" t="s">
        <v>119</v>
      </c>
      <c r="F678">
        <v>47</v>
      </c>
      <c r="G678">
        <v>337</v>
      </c>
      <c r="H678" t="s">
        <v>7</v>
      </c>
      <c r="I678">
        <v>9</v>
      </c>
      <c r="J678" t="b">
        <v>1</v>
      </c>
      <c r="K678" t="str">
        <f t="shared" si="10"/>
        <v>sad122011</v>
      </c>
      <c r="L678">
        <f>VLOOKUP(K678,BheightCalcs!I$1:M$429, 5, FALSE)</f>
        <v>7.8774499999999996</v>
      </c>
      <c r="M678">
        <f>VLOOKUP(A678, BheightCalcs!P$1:S$39, 4, FALSE)</f>
        <v>13</v>
      </c>
    </row>
    <row r="679" spans="1:13" x14ac:dyDescent="0.2">
      <c r="A679" t="s">
        <v>117</v>
      </c>
      <c r="B679">
        <v>2012</v>
      </c>
      <c r="C679" t="s">
        <v>108</v>
      </c>
      <c r="D679" t="s">
        <v>15</v>
      </c>
      <c r="E679" t="s">
        <v>118</v>
      </c>
      <c r="F679">
        <v>23</v>
      </c>
      <c r="G679">
        <v>299</v>
      </c>
      <c r="H679" t="s">
        <v>7</v>
      </c>
      <c r="I679">
        <v>9</v>
      </c>
      <c r="J679" t="b">
        <v>1</v>
      </c>
      <c r="K679" t="str">
        <f t="shared" si="10"/>
        <v>sad122012</v>
      </c>
      <c r="L679">
        <f>VLOOKUP(K679,BheightCalcs!I$1:M$429, 5, FALSE)</f>
        <v>8.5559999999999992</v>
      </c>
      <c r="M679">
        <f>VLOOKUP(A679, BheightCalcs!P$1:S$39, 4, FALSE)</f>
        <v>13</v>
      </c>
    </row>
    <row r="680" spans="1:13" x14ac:dyDescent="0.2">
      <c r="A680" t="s">
        <v>117</v>
      </c>
      <c r="B680">
        <v>2012</v>
      </c>
      <c r="C680" t="s">
        <v>108</v>
      </c>
      <c r="D680" t="s">
        <v>12</v>
      </c>
      <c r="E680" t="s">
        <v>119</v>
      </c>
      <c r="F680">
        <v>23</v>
      </c>
      <c r="G680">
        <v>299</v>
      </c>
      <c r="H680" t="s">
        <v>7</v>
      </c>
      <c r="I680">
        <v>9</v>
      </c>
      <c r="J680" t="b">
        <v>1</v>
      </c>
      <c r="K680" t="str">
        <f t="shared" si="10"/>
        <v>sad122012</v>
      </c>
      <c r="L680">
        <f>VLOOKUP(K680,BheightCalcs!I$1:M$429, 5, FALSE)</f>
        <v>8.5559999999999992</v>
      </c>
      <c r="M680">
        <f>VLOOKUP(A680, BheightCalcs!P$1:S$39, 4, FALSE)</f>
        <v>13</v>
      </c>
    </row>
    <row r="681" spans="1:13" x14ac:dyDescent="0.2">
      <c r="A681" t="s">
        <v>117</v>
      </c>
      <c r="B681">
        <v>2013</v>
      </c>
      <c r="C681" t="s">
        <v>108</v>
      </c>
      <c r="D681" t="s">
        <v>15</v>
      </c>
      <c r="E681" t="s">
        <v>118</v>
      </c>
      <c r="F681">
        <v>20</v>
      </c>
      <c r="G681">
        <v>299</v>
      </c>
      <c r="H681" t="s">
        <v>7</v>
      </c>
      <c r="I681">
        <v>9</v>
      </c>
      <c r="J681" t="b">
        <v>1</v>
      </c>
      <c r="K681" t="str">
        <f t="shared" si="10"/>
        <v>sad122013</v>
      </c>
      <c r="L681">
        <f>VLOOKUP(K681,BheightCalcs!I$1:M$429, 5, FALSE)</f>
        <v>9</v>
      </c>
      <c r="M681">
        <f>VLOOKUP(A681, BheightCalcs!P$1:S$39, 4, FALSE)</f>
        <v>13</v>
      </c>
    </row>
    <row r="682" spans="1:13" x14ac:dyDescent="0.2">
      <c r="A682" t="s">
        <v>117</v>
      </c>
      <c r="B682">
        <v>2013</v>
      </c>
      <c r="C682" t="s">
        <v>108</v>
      </c>
      <c r="D682" t="s">
        <v>12</v>
      </c>
      <c r="E682" t="s">
        <v>119</v>
      </c>
      <c r="F682">
        <v>20</v>
      </c>
      <c r="G682">
        <v>299</v>
      </c>
      <c r="H682" t="s">
        <v>7</v>
      </c>
      <c r="I682">
        <v>9</v>
      </c>
      <c r="J682" t="b">
        <v>1</v>
      </c>
      <c r="K682" t="str">
        <f t="shared" si="10"/>
        <v>sad122013</v>
      </c>
      <c r="L682">
        <f>VLOOKUP(K682,BheightCalcs!I$1:M$429, 5, FALSE)</f>
        <v>9</v>
      </c>
      <c r="M682">
        <f>VLOOKUP(A682, BheightCalcs!P$1:S$39, 4, FALSE)</f>
        <v>13</v>
      </c>
    </row>
    <row r="683" spans="1:13" x14ac:dyDescent="0.2">
      <c r="A683" t="s">
        <v>120</v>
      </c>
      <c r="B683">
        <v>2002</v>
      </c>
      <c r="C683" t="s">
        <v>108</v>
      </c>
      <c r="D683" t="s">
        <v>12</v>
      </c>
      <c r="E683" t="s">
        <v>122</v>
      </c>
      <c r="F683">
        <v>38</v>
      </c>
      <c r="G683">
        <v>312</v>
      </c>
      <c r="H683" t="s">
        <v>7</v>
      </c>
      <c r="I683">
        <v>5</v>
      </c>
      <c r="J683" t="b">
        <v>1</v>
      </c>
      <c r="K683" t="str">
        <f t="shared" si="10"/>
        <v>sad132002</v>
      </c>
      <c r="L683">
        <f>VLOOKUP(K683,BheightCalcs!I$1:M$429, 5, FALSE)</f>
        <v>1.0647000000000002</v>
      </c>
      <c r="M683">
        <f>VLOOKUP(A683, BheightCalcs!P$1:S$39, 4, FALSE)</f>
        <v>11</v>
      </c>
    </row>
    <row r="684" spans="1:13" x14ac:dyDescent="0.2">
      <c r="A684" t="s">
        <v>120</v>
      </c>
      <c r="B684">
        <v>2003</v>
      </c>
      <c r="C684" t="s">
        <v>108</v>
      </c>
      <c r="D684" t="s">
        <v>12</v>
      </c>
      <c r="E684" t="s">
        <v>122</v>
      </c>
      <c r="F684">
        <v>29</v>
      </c>
      <c r="G684">
        <v>330</v>
      </c>
      <c r="H684" t="s">
        <v>7</v>
      </c>
      <c r="I684">
        <v>5</v>
      </c>
      <c r="J684" t="b">
        <v>1</v>
      </c>
      <c r="K684" t="str">
        <f t="shared" si="10"/>
        <v>sad132003</v>
      </c>
      <c r="L684">
        <f>VLOOKUP(K684,BheightCalcs!I$1:M$429, 5, FALSE)</f>
        <v>1.3271000000000002</v>
      </c>
      <c r="M684">
        <f>VLOOKUP(A684, BheightCalcs!P$1:S$39, 4, FALSE)</f>
        <v>11</v>
      </c>
    </row>
    <row r="685" spans="1:13" x14ac:dyDescent="0.2">
      <c r="A685" t="s">
        <v>120</v>
      </c>
      <c r="B685">
        <v>2003</v>
      </c>
      <c r="C685" t="s">
        <v>108</v>
      </c>
      <c r="D685" t="s">
        <v>15</v>
      </c>
      <c r="E685" t="s">
        <v>121</v>
      </c>
      <c r="F685">
        <v>29</v>
      </c>
      <c r="G685">
        <v>330</v>
      </c>
      <c r="H685" t="s">
        <v>7</v>
      </c>
      <c r="I685">
        <v>5</v>
      </c>
      <c r="J685" t="b">
        <v>1</v>
      </c>
      <c r="K685" t="str">
        <f t="shared" si="10"/>
        <v>sad132003</v>
      </c>
      <c r="L685">
        <f>VLOOKUP(K685,BheightCalcs!I$1:M$429, 5, FALSE)</f>
        <v>1.3271000000000002</v>
      </c>
      <c r="M685">
        <f>VLOOKUP(A685, BheightCalcs!P$1:S$39, 4, FALSE)</f>
        <v>11</v>
      </c>
    </row>
    <row r="686" spans="1:13" x14ac:dyDescent="0.2">
      <c r="A686" t="s">
        <v>120</v>
      </c>
      <c r="B686">
        <v>2004</v>
      </c>
      <c r="C686" t="s">
        <v>108</v>
      </c>
      <c r="D686" t="s">
        <v>12</v>
      </c>
      <c r="E686" t="s">
        <v>122</v>
      </c>
      <c r="F686">
        <v>39</v>
      </c>
      <c r="G686">
        <v>296</v>
      </c>
      <c r="H686" t="s">
        <v>7</v>
      </c>
      <c r="I686">
        <v>5</v>
      </c>
      <c r="J686" t="b">
        <v>1</v>
      </c>
      <c r="K686" t="str">
        <f t="shared" si="10"/>
        <v>sad132004</v>
      </c>
      <c r="L686">
        <f>VLOOKUP(K686,BheightCalcs!I$1:M$429, 5, FALSE)</f>
        <v>1.7736000000000001</v>
      </c>
      <c r="M686">
        <f>VLOOKUP(A686, BheightCalcs!P$1:S$39, 4, FALSE)</f>
        <v>11</v>
      </c>
    </row>
    <row r="687" spans="1:13" x14ac:dyDescent="0.2">
      <c r="A687" t="s">
        <v>120</v>
      </c>
      <c r="B687">
        <v>2004</v>
      </c>
      <c r="C687" t="s">
        <v>108</v>
      </c>
      <c r="D687" t="s">
        <v>15</v>
      </c>
      <c r="E687" t="s">
        <v>121</v>
      </c>
      <c r="F687">
        <v>39</v>
      </c>
      <c r="G687">
        <v>296</v>
      </c>
      <c r="H687" t="s">
        <v>7</v>
      </c>
      <c r="I687">
        <v>5</v>
      </c>
      <c r="J687" t="b">
        <v>1</v>
      </c>
      <c r="K687" t="str">
        <f t="shared" si="10"/>
        <v>sad132004</v>
      </c>
      <c r="L687">
        <f>VLOOKUP(K687,BheightCalcs!I$1:M$429, 5, FALSE)</f>
        <v>1.7736000000000001</v>
      </c>
      <c r="M687">
        <f>VLOOKUP(A687, BheightCalcs!P$1:S$39, 4, FALSE)</f>
        <v>11</v>
      </c>
    </row>
    <row r="688" spans="1:13" x14ac:dyDescent="0.2">
      <c r="A688" t="s">
        <v>120</v>
      </c>
      <c r="B688">
        <v>2005</v>
      </c>
      <c r="C688" t="s">
        <v>108</v>
      </c>
      <c r="D688" t="s">
        <v>12</v>
      </c>
      <c r="E688" t="s">
        <v>122</v>
      </c>
      <c r="F688">
        <v>40</v>
      </c>
      <c r="G688">
        <v>306</v>
      </c>
      <c r="H688" t="s">
        <v>7</v>
      </c>
      <c r="I688">
        <v>5</v>
      </c>
      <c r="J688" t="b">
        <v>1</v>
      </c>
      <c r="K688" t="str">
        <f t="shared" si="10"/>
        <v>sad132005</v>
      </c>
      <c r="L688">
        <f>VLOOKUP(K688,BheightCalcs!I$1:M$429, 5, FALSE)</f>
        <v>2.3437000000000001</v>
      </c>
      <c r="M688">
        <f>VLOOKUP(A688, BheightCalcs!P$1:S$39, 4, FALSE)</f>
        <v>11</v>
      </c>
    </row>
    <row r="689" spans="1:13" x14ac:dyDescent="0.2">
      <c r="A689" t="s">
        <v>120</v>
      </c>
      <c r="B689">
        <v>2005</v>
      </c>
      <c r="C689" t="s">
        <v>108</v>
      </c>
      <c r="D689" t="s">
        <v>15</v>
      </c>
      <c r="E689" t="s">
        <v>121</v>
      </c>
      <c r="F689">
        <v>40</v>
      </c>
      <c r="G689">
        <v>306</v>
      </c>
      <c r="H689" t="s">
        <v>7</v>
      </c>
      <c r="I689">
        <v>5</v>
      </c>
      <c r="J689" t="b">
        <v>1</v>
      </c>
      <c r="K689" t="str">
        <f t="shared" si="10"/>
        <v>sad132005</v>
      </c>
      <c r="L689">
        <f>VLOOKUP(K689,BheightCalcs!I$1:M$429, 5, FALSE)</f>
        <v>2.3437000000000001</v>
      </c>
      <c r="M689">
        <f>VLOOKUP(A689, BheightCalcs!P$1:S$39, 4, FALSE)</f>
        <v>11</v>
      </c>
    </row>
    <row r="690" spans="1:13" x14ac:dyDescent="0.2">
      <c r="A690" t="s">
        <v>120</v>
      </c>
      <c r="B690">
        <v>2006</v>
      </c>
      <c r="C690" t="s">
        <v>108</v>
      </c>
      <c r="D690" t="s">
        <v>12</v>
      </c>
      <c r="E690" t="s">
        <v>122</v>
      </c>
      <c r="F690">
        <v>21</v>
      </c>
      <c r="G690">
        <v>320</v>
      </c>
      <c r="H690" t="s">
        <v>7</v>
      </c>
      <c r="I690">
        <v>5</v>
      </c>
      <c r="J690" t="b">
        <v>1</v>
      </c>
      <c r="K690" t="str">
        <f t="shared" si="10"/>
        <v>sad132006</v>
      </c>
      <c r="L690">
        <f>VLOOKUP(K690,BheightCalcs!I$1:M$429, 5, FALSE)</f>
        <v>2.7523499999999999</v>
      </c>
      <c r="M690">
        <f>VLOOKUP(A690, BheightCalcs!P$1:S$39, 4, FALSE)</f>
        <v>11</v>
      </c>
    </row>
    <row r="691" spans="1:13" x14ac:dyDescent="0.2">
      <c r="A691" t="s">
        <v>120</v>
      </c>
      <c r="B691">
        <v>2006</v>
      </c>
      <c r="C691" t="s">
        <v>108</v>
      </c>
      <c r="D691" t="s">
        <v>15</v>
      </c>
      <c r="E691" t="s">
        <v>121</v>
      </c>
      <c r="F691">
        <v>21</v>
      </c>
      <c r="G691">
        <v>320</v>
      </c>
      <c r="H691" t="s">
        <v>7</v>
      </c>
      <c r="I691">
        <v>5</v>
      </c>
      <c r="J691" t="b">
        <v>1</v>
      </c>
      <c r="K691" t="str">
        <f t="shared" si="10"/>
        <v>sad132006</v>
      </c>
      <c r="L691">
        <f>VLOOKUP(K691,BheightCalcs!I$1:M$429, 5, FALSE)</f>
        <v>2.7523499999999999</v>
      </c>
      <c r="M691">
        <f>VLOOKUP(A691, BheightCalcs!P$1:S$39, 4, FALSE)</f>
        <v>11</v>
      </c>
    </row>
    <row r="692" spans="1:13" x14ac:dyDescent="0.2">
      <c r="A692" t="s">
        <v>120</v>
      </c>
      <c r="B692">
        <v>2007</v>
      </c>
      <c r="C692" t="s">
        <v>108</v>
      </c>
      <c r="D692" t="s">
        <v>15</v>
      </c>
      <c r="E692" t="s">
        <v>121</v>
      </c>
      <c r="F692">
        <v>7</v>
      </c>
      <c r="G692">
        <v>313</v>
      </c>
      <c r="H692" t="s">
        <v>7</v>
      </c>
      <c r="I692">
        <v>5</v>
      </c>
      <c r="J692" t="b">
        <v>1</v>
      </c>
      <c r="K692" t="str">
        <f t="shared" si="10"/>
        <v>sad132007</v>
      </c>
      <c r="L692">
        <f>VLOOKUP(K692,BheightCalcs!I$1:M$429, 5, FALSE)</f>
        <v>3.1585000000000001</v>
      </c>
      <c r="M692">
        <f>VLOOKUP(A692, BheightCalcs!P$1:S$39, 4, FALSE)</f>
        <v>11</v>
      </c>
    </row>
    <row r="693" spans="1:13" x14ac:dyDescent="0.2">
      <c r="A693" t="s">
        <v>120</v>
      </c>
      <c r="B693">
        <v>2007</v>
      </c>
      <c r="C693" t="s">
        <v>108</v>
      </c>
      <c r="D693" t="s">
        <v>12</v>
      </c>
      <c r="E693" t="s">
        <v>122</v>
      </c>
      <c r="F693">
        <v>7</v>
      </c>
      <c r="G693">
        <v>313</v>
      </c>
      <c r="H693" t="s">
        <v>7</v>
      </c>
      <c r="I693">
        <v>5</v>
      </c>
      <c r="J693" t="b">
        <v>1</v>
      </c>
      <c r="K693" t="str">
        <f t="shared" si="10"/>
        <v>sad132007</v>
      </c>
      <c r="L693">
        <f>VLOOKUP(K693,BheightCalcs!I$1:M$429, 5, FALSE)</f>
        <v>3.1585000000000001</v>
      </c>
      <c r="M693">
        <f>VLOOKUP(A693, BheightCalcs!P$1:S$39, 4, FALSE)</f>
        <v>11</v>
      </c>
    </row>
    <row r="694" spans="1:13" x14ac:dyDescent="0.2">
      <c r="A694" t="s">
        <v>120</v>
      </c>
      <c r="B694">
        <v>2008</v>
      </c>
      <c r="C694" t="s">
        <v>108</v>
      </c>
      <c r="D694" t="s">
        <v>15</v>
      </c>
      <c r="E694" t="s">
        <v>121</v>
      </c>
      <c r="F694">
        <v>36</v>
      </c>
      <c r="G694">
        <v>301</v>
      </c>
      <c r="H694" t="s">
        <v>7</v>
      </c>
      <c r="I694">
        <v>5</v>
      </c>
      <c r="J694" t="b">
        <v>1</v>
      </c>
      <c r="K694" t="str">
        <f t="shared" si="10"/>
        <v>sad132008</v>
      </c>
      <c r="L694">
        <f>VLOOKUP(K694,BheightCalcs!I$1:M$429, 5, FALSE)</f>
        <v>3.4637500000000001</v>
      </c>
      <c r="M694">
        <f>VLOOKUP(A694, BheightCalcs!P$1:S$39, 4, FALSE)</f>
        <v>11</v>
      </c>
    </row>
    <row r="695" spans="1:13" x14ac:dyDescent="0.2">
      <c r="A695" t="s">
        <v>120</v>
      </c>
      <c r="B695">
        <v>2008</v>
      </c>
      <c r="C695" t="s">
        <v>108</v>
      </c>
      <c r="D695" t="s">
        <v>12</v>
      </c>
      <c r="E695" t="s">
        <v>122</v>
      </c>
      <c r="F695">
        <v>36</v>
      </c>
      <c r="G695">
        <v>301</v>
      </c>
      <c r="H695" t="s">
        <v>7</v>
      </c>
      <c r="I695">
        <v>5</v>
      </c>
      <c r="J695" t="b">
        <v>1</v>
      </c>
      <c r="K695" t="str">
        <f t="shared" si="10"/>
        <v>sad132008</v>
      </c>
      <c r="L695">
        <f>VLOOKUP(K695,BheightCalcs!I$1:M$429, 5, FALSE)</f>
        <v>3.4637500000000001</v>
      </c>
      <c r="M695">
        <f>VLOOKUP(A695, BheightCalcs!P$1:S$39, 4, FALSE)</f>
        <v>11</v>
      </c>
    </row>
    <row r="696" spans="1:13" x14ac:dyDescent="0.2">
      <c r="A696" t="s">
        <v>120</v>
      </c>
      <c r="B696">
        <v>2009</v>
      </c>
      <c r="C696" t="s">
        <v>108</v>
      </c>
      <c r="D696" t="s">
        <v>12</v>
      </c>
      <c r="E696" t="s">
        <v>122</v>
      </c>
      <c r="F696">
        <v>42</v>
      </c>
      <c r="G696">
        <v>341</v>
      </c>
      <c r="H696" t="s">
        <v>7</v>
      </c>
      <c r="I696">
        <v>5</v>
      </c>
      <c r="J696" t="b">
        <v>1</v>
      </c>
      <c r="K696" t="str">
        <f t="shared" si="10"/>
        <v>sad132009</v>
      </c>
      <c r="L696">
        <f>VLOOKUP(K696,BheightCalcs!I$1:M$429, 5, FALSE)</f>
        <v>3.8673500000000001</v>
      </c>
      <c r="M696">
        <f>VLOOKUP(A696, BheightCalcs!P$1:S$39, 4, FALSE)</f>
        <v>11</v>
      </c>
    </row>
    <row r="697" spans="1:13" x14ac:dyDescent="0.2">
      <c r="A697" t="s">
        <v>120</v>
      </c>
      <c r="B697">
        <v>2009</v>
      </c>
      <c r="C697" t="s">
        <v>108</v>
      </c>
      <c r="D697" t="s">
        <v>15</v>
      </c>
      <c r="E697" t="s">
        <v>121</v>
      </c>
      <c r="F697">
        <v>42</v>
      </c>
      <c r="G697">
        <v>341</v>
      </c>
      <c r="H697" t="s">
        <v>7</v>
      </c>
      <c r="I697">
        <v>5</v>
      </c>
      <c r="J697" t="b">
        <v>1</v>
      </c>
      <c r="K697" t="str">
        <f t="shared" si="10"/>
        <v>sad132009</v>
      </c>
      <c r="L697">
        <f>VLOOKUP(K697,BheightCalcs!I$1:M$429, 5, FALSE)</f>
        <v>3.8673500000000001</v>
      </c>
      <c r="M697">
        <f>VLOOKUP(A697, BheightCalcs!P$1:S$39, 4, FALSE)</f>
        <v>11</v>
      </c>
    </row>
    <row r="698" spans="1:13" x14ac:dyDescent="0.2">
      <c r="A698" t="s">
        <v>120</v>
      </c>
      <c r="B698">
        <v>2010</v>
      </c>
      <c r="C698" t="s">
        <v>108</v>
      </c>
      <c r="D698" t="s">
        <v>15</v>
      </c>
      <c r="E698" t="s">
        <v>121</v>
      </c>
      <c r="F698">
        <v>41</v>
      </c>
      <c r="G698">
        <v>296</v>
      </c>
      <c r="H698" t="s">
        <v>7</v>
      </c>
      <c r="I698">
        <v>5</v>
      </c>
      <c r="J698" t="b">
        <v>1</v>
      </c>
      <c r="K698" t="str">
        <f t="shared" si="10"/>
        <v>sad132010</v>
      </c>
      <c r="L698">
        <f>VLOOKUP(K698,BheightCalcs!I$1:M$429, 5, FALSE)</f>
        <v>4.1272000000000002</v>
      </c>
      <c r="M698">
        <f>VLOOKUP(A698, BheightCalcs!P$1:S$39, 4, FALSE)</f>
        <v>11</v>
      </c>
    </row>
    <row r="699" spans="1:13" x14ac:dyDescent="0.2">
      <c r="A699" t="s">
        <v>120</v>
      </c>
      <c r="B699">
        <v>2010</v>
      </c>
      <c r="C699" t="s">
        <v>108</v>
      </c>
      <c r="D699" t="s">
        <v>12</v>
      </c>
      <c r="E699" t="s">
        <v>122</v>
      </c>
      <c r="F699">
        <v>41</v>
      </c>
      <c r="G699">
        <v>296</v>
      </c>
      <c r="H699" t="s">
        <v>7</v>
      </c>
      <c r="I699">
        <v>5</v>
      </c>
      <c r="J699" t="b">
        <v>1</v>
      </c>
      <c r="K699" t="str">
        <f t="shared" si="10"/>
        <v>sad132010</v>
      </c>
      <c r="L699">
        <f>VLOOKUP(K699,BheightCalcs!I$1:M$429, 5, FALSE)</f>
        <v>4.1272000000000002</v>
      </c>
      <c r="M699">
        <f>VLOOKUP(A699, BheightCalcs!P$1:S$39, 4, FALSE)</f>
        <v>11</v>
      </c>
    </row>
    <row r="700" spans="1:13" x14ac:dyDescent="0.2">
      <c r="A700" t="s">
        <v>120</v>
      </c>
      <c r="B700">
        <v>2011</v>
      </c>
      <c r="C700" t="s">
        <v>108</v>
      </c>
      <c r="D700" t="s">
        <v>12</v>
      </c>
      <c r="E700" t="s">
        <v>122</v>
      </c>
      <c r="F700">
        <v>47</v>
      </c>
      <c r="G700">
        <v>337</v>
      </c>
      <c r="H700" t="s">
        <v>7</v>
      </c>
      <c r="I700">
        <v>5</v>
      </c>
      <c r="J700" t="b">
        <v>1</v>
      </c>
      <c r="K700" t="str">
        <f t="shared" si="10"/>
        <v>sad132011</v>
      </c>
      <c r="L700">
        <f>VLOOKUP(K700,BheightCalcs!I$1:M$429, 5, FALSE)</f>
        <v>4.3971499999999999</v>
      </c>
      <c r="M700">
        <f>VLOOKUP(A700, BheightCalcs!P$1:S$39, 4, FALSE)</f>
        <v>11</v>
      </c>
    </row>
    <row r="701" spans="1:13" x14ac:dyDescent="0.2">
      <c r="A701" t="s">
        <v>120</v>
      </c>
      <c r="B701">
        <v>2011</v>
      </c>
      <c r="C701" t="s">
        <v>108</v>
      </c>
      <c r="D701" t="s">
        <v>15</v>
      </c>
      <c r="E701" t="s">
        <v>121</v>
      </c>
      <c r="F701">
        <v>47</v>
      </c>
      <c r="G701">
        <v>337</v>
      </c>
      <c r="H701" t="s">
        <v>7</v>
      </c>
      <c r="I701">
        <v>5</v>
      </c>
      <c r="J701" t="b">
        <v>1</v>
      </c>
      <c r="K701" t="str">
        <f t="shared" si="10"/>
        <v>sad132011</v>
      </c>
      <c r="L701">
        <f>VLOOKUP(K701,BheightCalcs!I$1:M$429, 5, FALSE)</f>
        <v>4.3971499999999999</v>
      </c>
      <c r="M701">
        <f>VLOOKUP(A701, BheightCalcs!P$1:S$39, 4, FALSE)</f>
        <v>11</v>
      </c>
    </row>
    <row r="702" spans="1:13" x14ac:dyDescent="0.2">
      <c r="A702" t="s">
        <v>120</v>
      </c>
      <c r="B702">
        <v>2012</v>
      </c>
      <c r="C702" t="s">
        <v>108</v>
      </c>
      <c r="D702" t="s">
        <v>15</v>
      </c>
      <c r="E702" t="s">
        <v>121</v>
      </c>
      <c r="F702">
        <v>23</v>
      </c>
      <c r="G702">
        <v>299</v>
      </c>
      <c r="H702" t="s">
        <v>7</v>
      </c>
      <c r="I702">
        <v>5</v>
      </c>
      <c r="J702" t="b">
        <v>1</v>
      </c>
      <c r="K702" t="str">
        <f t="shared" si="10"/>
        <v>sad132012</v>
      </c>
      <c r="L702">
        <f>VLOOKUP(K702,BheightCalcs!I$1:M$429, 5, FALSE)</f>
        <v>4.72</v>
      </c>
      <c r="M702">
        <f>VLOOKUP(A702, BheightCalcs!P$1:S$39, 4, FALSE)</f>
        <v>11</v>
      </c>
    </row>
    <row r="703" spans="1:13" x14ac:dyDescent="0.2">
      <c r="A703" t="s">
        <v>120</v>
      </c>
      <c r="B703">
        <v>2012</v>
      </c>
      <c r="C703" t="s">
        <v>108</v>
      </c>
      <c r="D703" t="s">
        <v>12</v>
      </c>
      <c r="E703" t="s">
        <v>122</v>
      </c>
      <c r="F703">
        <v>23</v>
      </c>
      <c r="G703">
        <v>299</v>
      </c>
      <c r="H703" t="s">
        <v>7</v>
      </c>
      <c r="I703">
        <v>5</v>
      </c>
      <c r="J703" t="b">
        <v>1</v>
      </c>
      <c r="K703" t="str">
        <f t="shared" si="10"/>
        <v>sad132012</v>
      </c>
      <c r="L703">
        <f>VLOOKUP(K703,BheightCalcs!I$1:M$429, 5, FALSE)</f>
        <v>4.72</v>
      </c>
      <c r="M703">
        <f>VLOOKUP(A703, BheightCalcs!P$1:S$39, 4, FALSE)</f>
        <v>11</v>
      </c>
    </row>
    <row r="704" spans="1:13" x14ac:dyDescent="0.2">
      <c r="A704" t="s">
        <v>120</v>
      </c>
      <c r="B704">
        <v>2013</v>
      </c>
      <c r="C704" t="s">
        <v>108</v>
      </c>
      <c r="D704" t="s">
        <v>12</v>
      </c>
      <c r="E704" t="s">
        <v>122</v>
      </c>
      <c r="F704">
        <v>20</v>
      </c>
      <c r="G704">
        <v>299</v>
      </c>
      <c r="H704" t="s">
        <v>7</v>
      </c>
      <c r="I704">
        <v>5</v>
      </c>
      <c r="J704" t="b">
        <v>1</v>
      </c>
      <c r="K704" t="str">
        <f t="shared" si="10"/>
        <v>sad132013</v>
      </c>
      <c r="L704">
        <f>VLOOKUP(K704,BheightCalcs!I$1:M$429, 5, FALSE)</f>
        <v>5</v>
      </c>
      <c r="M704">
        <f>VLOOKUP(A704, BheightCalcs!P$1:S$39, 4, FALSE)</f>
        <v>11</v>
      </c>
    </row>
    <row r="705" spans="1:13" x14ac:dyDescent="0.2">
      <c r="A705" t="s">
        <v>120</v>
      </c>
      <c r="B705">
        <v>2013</v>
      </c>
      <c r="C705" t="s">
        <v>108</v>
      </c>
      <c r="D705" t="s">
        <v>15</v>
      </c>
      <c r="E705" t="s">
        <v>121</v>
      </c>
      <c r="F705">
        <v>20</v>
      </c>
      <c r="G705">
        <v>299</v>
      </c>
      <c r="H705" t="s">
        <v>7</v>
      </c>
      <c r="I705">
        <v>5</v>
      </c>
      <c r="J705" t="b">
        <v>1</v>
      </c>
      <c r="K705" t="str">
        <f t="shared" si="10"/>
        <v>sad132013</v>
      </c>
      <c r="L705">
        <f>VLOOKUP(K705,BheightCalcs!I$1:M$429, 5, FALSE)</f>
        <v>5</v>
      </c>
      <c r="M705">
        <f>VLOOKUP(A705, BheightCalcs!P$1:S$39, 4, FALSE)</f>
        <v>11</v>
      </c>
    </row>
    <row r="706" spans="1:13" x14ac:dyDescent="0.2">
      <c r="A706" t="s">
        <v>123</v>
      </c>
      <c r="B706">
        <v>2010</v>
      </c>
      <c r="C706" t="s">
        <v>108</v>
      </c>
      <c r="D706" t="s">
        <v>12</v>
      </c>
      <c r="E706" t="s">
        <v>124</v>
      </c>
      <c r="F706">
        <v>41</v>
      </c>
      <c r="G706">
        <v>296</v>
      </c>
      <c r="H706" t="s">
        <v>7</v>
      </c>
      <c r="I706">
        <v>4</v>
      </c>
      <c r="J706" t="b">
        <v>1</v>
      </c>
      <c r="K706" t="str">
        <f t="shared" si="10"/>
        <v>sad142010</v>
      </c>
      <c r="L706">
        <f>VLOOKUP(K706,BheightCalcs!I$1:M$429, 5, FALSE)</f>
        <v>2.3880499999999998</v>
      </c>
      <c r="M706">
        <f>VLOOKUP(A706, BheightCalcs!P$1:S$39, 4, FALSE)</f>
        <v>3</v>
      </c>
    </row>
    <row r="707" spans="1:13" x14ac:dyDescent="0.2">
      <c r="A707" t="s">
        <v>123</v>
      </c>
      <c r="B707">
        <v>2011</v>
      </c>
      <c r="C707" t="s">
        <v>108</v>
      </c>
      <c r="D707" t="s">
        <v>12</v>
      </c>
      <c r="E707" t="s">
        <v>124</v>
      </c>
      <c r="F707">
        <v>47</v>
      </c>
      <c r="G707">
        <v>337</v>
      </c>
      <c r="H707" t="s">
        <v>7</v>
      </c>
      <c r="I707">
        <v>4</v>
      </c>
      <c r="J707" t="b">
        <v>1</v>
      </c>
      <c r="K707" t="str">
        <f t="shared" ref="K707:K759" si="11">CONCATENATE(A707, B707)</f>
        <v>sad142011</v>
      </c>
      <c r="L707">
        <f>VLOOKUP(K707,BheightCalcs!I$1:M$429, 5, FALSE)</f>
        <v>3.1624999999999996</v>
      </c>
      <c r="M707">
        <f>VLOOKUP(A707, BheightCalcs!P$1:S$39, 4, FALSE)</f>
        <v>3</v>
      </c>
    </row>
    <row r="708" spans="1:13" x14ac:dyDescent="0.2">
      <c r="A708" t="s">
        <v>123</v>
      </c>
      <c r="B708">
        <v>2011</v>
      </c>
      <c r="C708" t="s">
        <v>108</v>
      </c>
      <c r="D708" t="s">
        <v>15</v>
      </c>
      <c r="E708" t="s">
        <v>125</v>
      </c>
      <c r="F708">
        <v>47</v>
      </c>
      <c r="G708">
        <v>337</v>
      </c>
      <c r="H708" t="s">
        <v>7</v>
      </c>
      <c r="I708">
        <v>4</v>
      </c>
      <c r="J708" t="b">
        <v>1</v>
      </c>
      <c r="K708" t="str">
        <f t="shared" si="11"/>
        <v>sad142011</v>
      </c>
      <c r="L708">
        <f>VLOOKUP(K708,BheightCalcs!I$1:M$429, 5, FALSE)</f>
        <v>3.1624999999999996</v>
      </c>
      <c r="M708">
        <f>VLOOKUP(A708, BheightCalcs!P$1:S$39, 4, FALSE)</f>
        <v>3</v>
      </c>
    </row>
    <row r="709" spans="1:13" x14ac:dyDescent="0.2">
      <c r="A709" t="s">
        <v>123</v>
      </c>
      <c r="B709">
        <v>2012</v>
      </c>
      <c r="C709" t="s">
        <v>108</v>
      </c>
      <c r="D709" t="s">
        <v>15</v>
      </c>
      <c r="E709" t="s">
        <v>125</v>
      </c>
      <c r="F709">
        <v>23</v>
      </c>
      <c r="G709">
        <v>299</v>
      </c>
      <c r="H709" t="s">
        <v>7</v>
      </c>
      <c r="I709">
        <v>4</v>
      </c>
      <c r="J709" t="b">
        <v>1</v>
      </c>
      <c r="K709" t="str">
        <f t="shared" si="11"/>
        <v>sad142012</v>
      </c>
      <c r="L709">
        <f>VLOOKUP(K709,BheightCalcs!I$1:M$429, 5, FALSE)</f>
        <v>3.6342499999999998</v>
      </c>
      <c r="M709">
        <f>VLOOKUP(A709, BheightCalcs!P$1:S$39, 4, FALSE)</f>
        <v>3</v>
      </c>
    </row>
    <row r="710" spans="1:13" x14ac:dyDescent="0.2">
      <c r="A710" t="s">
        <v>123</v>
      </c>
      <c r="B710">
        <v>2012</v>
      </c>
      <c r="C710" t="s">
        <v>108</v>
      </c>
      <c r="D710" t="s">
        <v>12</v>
      </c>
      <c r="E710" t="s">
        <v>124</v>
      </c>
      <c r="F710">
        <v>23</v>
      </c>
      <c r="G710">
        <v>299</v>
      </c>
      <c r="H710" t="s">
        <v>7</v>
      </c>
      <c r="I710">
        <v>4</v>
      </c>
      <c r="J710" t="b">
        <v>1</v>
      </c>
      <c r="K710" t="str">
        <f t="shared" si="11"/>
        <v>sad142012</v>
      </c>
      <c r="L710">
        <f>VLOOKUP(K710,BheightCalcs!I$1:M$429, 5, FALSE)</f>
        <v>3.6342499999999998</v>
      </c>
      <c r="M710">
        <f>VLOOKUP(A710, BheightCalcs!P$1:S$39, 4, FALSE)</f>
        <v>3</v>
      </c>
    </row>
    <row r="711" spans="1:13" x14ac:dyDescent="0.2">
      <c r="A711" t="s">
        <v>123</v>
      </c>
      <c r="B711">
        <v>2013</v>
      </c>
      <c r="C711" t="s">
        <v>108</v>
      </c>
      <c r="D711" t="s">
        <v>12</v>
      </c>
      <c r="E711" t="s">
        <v>124</v>
      </c>
      <c r="F711">
        <v>20</v>
      </c>
      <c r="G711">
        <v>299</v>
      </c>
      <c r="H711" t="s">
        <v>7</v>
      </c>
      <c r="I711">
        <v>4</v>
      </c>
      <c r="J711" t="b">
        <v>1</v>
      </c>
      <c r="K711" t="str">
        <f t="shared" si="11"/>
        <v>sad142013</v>
      </c>
      <c r="L711">
        <f>VLOOKUP(K711,BheightCalcs!I$1:M$429, 5, FALSE)</f>
        <v>4</v>
      </c>
      <c r="M711">
        <f>VLOOKUP(A711, BheightCalcs!P$1:S$39, 4, FALSE)</f>
        <v>3</v>
      </c>
    </row>
    <row r="712" spans="1:13" x14ac:dyDescent="0.2">
      <c r="A712" t="s">
        <v>123</v>
      </c>
      <c r="B712">
        <v>2013</v>
      </c>
      <c r="C712" t="s">
        <v>108</v>
      </c>
      <c r="D712" t="s">
        <v>15</v>
      </c>
      <c r="E712" t="s">
        <v>125</v>
      </c>
      <c r="F712">
        <v>20</v>
      </c>
      <c r="G712">
        <v>299</v>
      </c>
      <c r="H712" t="s">
        <v>7</v>
      </c>
      <c r="I712">
        <v>4</v>
      </c>
      <c r="J712" t="b">
        <v>1</v>
      </c>
      <c r="K712" t="str">
        <f t="shared" si="11"/>
        <v>sad142013</v>
      </c>
      <c r="L712">
        <f>VLOOKUP(K712,BheightCalcs!I$1:M$429, 5, FALSE)</f>
        <v>4</v>
      </c>
      <c r="M712">
        <f>VLOOKUP(A712, BheightCalcs!P$1:S$39, 4, FALSE)</f>
        <v>3</v>
      </c>
    </row>
    <row r="713" spans="1:13" x14ac:dyDescent="0.2">
      <c r="A713" t="s">
        <v>126</v>
      </c>
      <c r="B713">
        <v>2000</v>
      </c>
      <c r="C713" t="s">
        <v>108</v>
      </c>
      <c r="D713" t="s">
        <v>15</v>
      </c>
      <c r="E713" t="s">
        <v>127</v>
      </c>
      <c r="F713">
        <v>42</v>
      </c>
      <c r="G713">
        <v>290</v>
      </c>
      <c r="H713" t="s">
        <v>7</v>
      </c>
      <c r="I713">
        <v>14</v>
      </c>
      <c r="J713" t="b">
        <v>1</v>
      </c>
      <c r="K713" t="str">
        <f t="shared" si="11"/>
        <v>sad152000</v>
      </c>
      <c r="L713">
        <f>VLOOKUP(K713,BheightCalcs!I$1:M$429, 5, FALSE)</f>
        <v>3.9099999999999979</v>
      </c>
      <c r="M713">
        <f>VLOOKUP(A713, BheightCalcs!P$1:S$39, 4, FALSE)</f>
        <v>13</v>
      </c>
    </row>
    <row r="714" spans="1:13" x14ac:dyDescent="0.2">
      <c r="A714" t="s">
        <v>126</v>
      </c>
      <c r="B714">
        <v>2000</v>
      </c>
      <c r="C714" t="s">
        <v>108</v>
      </c>
      <c r="D714" t="s">
        <v>12</v>
      </c>
      <c r="E714" t="s">
        <v>128</v>
      </c>
      <c r="F714">
        <v>42</v>
      </c>
      <c r="G714">
        <v>290</v>
      </c>
      <c r="H714" t="s">
        <v>7</v>
      </c>
      <c r="I714">
        <v>14</v>
      </c>
      <c r="J714" t="b">
        <v>1</v>
      </c>
      <c r="K714" t="str">
        <f t="shared" si="11"/>
        <v>sad152000</v>
      </c>
      <c r="L714">
        <f>VLOOKUP(K714,BheightCalcs!I$1:M$429, 5, FALSE)</f>
        <v>3.9099999999999979</v>
      </c>
      <c r="M714">
        <f>VLOOKUP(A714, BheightCalcs!P$1:S$39, 4, FALSE)</f>
        <v>13</v>
      </c>
    </row>
    <row r="715" spans="1:13" x14ac:dyDescent="0.2">
      <c r="A715" t="s">
        <v>126</v>
      </c>
      <c r="B715">
        <v>2001</v>
      </c>
      <c r="C715" t="s">
        <v>108</v>
      </c>
      <c r="D715" t="s">
        <v>12</v>
      </c>
      <c r="E715" t="s">
        <v>128</v>
      </c>
      <c r="F715">
        <v>35</v>
      </c>
      <c r="G715">
        <v>294</v>
      </c>
      <c r="H715" t="s">
        <v>7</v>
      </c>
      <c r="I715">
        <v>14</v>
      </c>
      <c r="J715" t="b">
        <v>1</v>
      </c>
      <c r="K715" t="str">
        <f t="shared" si="11"/>
        <v>sad152001</v>
      </c>
      <c r="L715">
        <f>VLOOKUP(K715,BheightCalcs!I$1:M$429, 5, FALSE)</f>
        <v>4.7774999999999981</v>
      </c>
      <c r="M715">
        <f>VLOOKUP(A715, BheightCalcs!P$1:S$39, 4, FALSE)</f>
        <v>13</v>
      </c>
    </row>
    <row r="716" spans="1:13" x14ac:dyDescent="0.2">
      <c r="A716" t="s">
        <v>126</v>
      </c>
      <c r="B716">
        <v>2001</v>
      </c>
      <c r="C716" t="s">
        <v>108</v>
      </c>
      <c r="D716" t="s">
        <v>15</v>
      </c>
      <c r="E716" t="s">
        <v>127</v>
      </c>
      <c r="F716">
        <v>35</v>
      </c>
      <c r="G716">
        <v>294</v>
      </c>
      <c r="H716" t="s">
        <v>7</v>
      </c>
      <c r="I716">
        <v>14</v>
      </c>
      <c r="J716" t="b">
        <v>1</v>
      </c>
      <c r="K716" t="str">
        <f t="shared" si="11"/>
        <v>sad152001</v>
      </c>
      <c r="L716">
        <f>VLOOKUP(K716,BheightCalcs!I$1:M$429, 5, FALSE)</f>
        <v>4.7774999999999981</v>
      </c>
      <c r="M716">
        <f>VLOOKUP(A716, BheightCalcs!P$1:S$39, 4, FALSE)</f>
        <v>13</v>
      </c>
    </row>
    <row r="717" spans="1:13" x14ac:dyDescent="0.2">
      <c r="A717" t="s">
        <v>126</v>
      </c>
      <c r="B717">
        <v>2002</v>
      </c>
      <c r="C717" t="s">
        <v>108</v>
      </c>
      <c r="D717" t="s">
        <v>12</v>
      </c>
      <c r="E717" t="s">
        <v>128</v>
      </c>
      <c r="F717">
        <v>38</v>
      </c>
      <c r="G717">
        <v>312</v>
      </c>
      <c r="H717" t="s">
        <v>7</v>
      </c>
      <c r="I717">
        <v>14</v>
      </c>
      <c r="J717" t="b">
        <v>1</v>
      </c>
      <c r="K717" t="str">
        <f t="shared" si="11"/>
        <v>sad152002</v>
      </c>
      <c r="L717">
        <f>VLOOKUP(K717,BheightCalcs!I$1:M$429, 5, FALSE)</f>
        <v>5.469999999999998</v>
      </c>
      <c r="M717">
        <f>VLOOKUP(A717, BheightCalcs!P$1:S$39, 4, FALSE)</f>
        <v>13</v>
      </c>
    </row>
    <row r="718" spans="1:13" x14ac:dyDescent="0.2">
      <c r="A718" t="s">
        <v>126</v>
      </c>
      <c r="B718">
        <v>2002</v>
      </c>
      <c r="C718" t="s">
        <v>108</v>
      </c>
      <c r="D718" t="s">
        <v>15</v>
      </c>
      <c r="E718" t="s">
        <v>127</v>
      </c>
      <c r="F718">
        <v>38</v>
      </c>
      <c r="G718">
        <v>312</v>
      </c>
      <c r="H718" t="s">
        <v>7</v>
      </c>
      <c r="I718">
        <v>14</v>
      </c>
      <c r="J718" t="b">
        <v>1</v>
      </c>
      <c r="K718" t="str">
        <f t="shared" si="11"/>
        <v>sad152002</v>
      </c>
      <c r="L718">
        <f>VLOOKUP(K718,BheightCalcs!I$1:M$429, 5, FALSE)</f>
        <v>5.469999999999998</v>
      </c>
      <c r="M718">
        <f>VLOOKUP(A718, BheightCalcs!P$1:S$39, 4, FALSE)</f>
        <v>13</v>
      </c>
    </row>
    <row r="719" spans="1:13" x14ac:dyDescent="0.2">
      <c r="A719" t="s">
        <v>126</v>
      </c>
      <c r="B719">
        <v>2003</v>
      </c>
      <c r="C719" t="s">
        <v>108</v>
      </c>
      <c r="D719" t="s">
        <v>15</v>
      </c>
      <c r="E719" t="s">
        <v>127</v>
      </c>
      <c r="F719">
        <v>29</v>
      </c>
      <c r="G719">
        <v>330</v>
      </c>
      <c r="H719" t="s">
        <v>7</v>
      </c>
      <c r="I719">
        <v>14</v>
      </c>
      <c r="J719" t="b">
        <v>1</v>
      </c>
      <c r="K719" t="str">
        <f t="shared" si="11"/>
        <v>sad152003</v>
      </c>
      <c r="L719">
        <f>VLOOKUP(K719,BheightCalcs!I$1:M$429, 5, FALSE)</f>
        <v>6.2699999999999978</v>
      </c>
      <c r="M719">
        <f>VLOOKUP(A719, BheightCalcs!P$1:S$39, 4, FALSE)</f>
        <v>13</v>
      </c>
    </row>
    <row r="720" spans="1:13" x14ac:dyDescent="0.2">
      <c r="A720" t="s">
        <v>126</v>
      </c>
      <c r="B720">
        <v>2003</v>
      </c>
      <c r="C720" t="s">
        <v>108</v>
      </c>
      <c r="D720" t="s">
        <v>12</v>
      </c>
      <c r="E720" t="s">
        <v>128</v>
      </c>
      <c r="F720">
        <v>29</v>
      </c>
      <c r="G720">
        <v>330</v>
      </c>
      <c r="H720" t="s">
        <v>7</v>
      </c>
      <c r="I720">
        <v>14</v>
      </c>
      <c r="J720" t="b">
        <v>1</v>
      </c>
      <c r="K720" t="str">
        <f t="shared" si="11"/>
        <v>sad152003</v>
      </c>
      <c r="L720">
        <f>VLOOKUP(K720,BheightCalcs!I$1:M$429, 5, FALSE)</f>
        <v>6.2699999999999978</v>
      </c>
      <c r="M720">
        <f>VLOOKUP(A720, BheightCalcs!P$1:S$39, 4, FALSE)</f>
        <v>13</v>
      </c>
    </row>
    <row r="721" spans="1:13" x14ac:dyDescent="0.2">
      <c r="A721" t="s">
        <v>126</v>
      </c>
      <c r="B721">
        <v>2004</v>
      </c>
      <c r="C721" t="s">
        <v>108</v>
      </c>
      <c r="D721" t="s">
        <v>12</v>
      </c>
      <c r="E721" t="s">
        <v>128</v>
      </c>
      <c r="F721">
        <v>39</v>
      </c>
      <c r="G721">
        <v>296</v>
      </c>
      <c r="H721" t="s">
        <v>7</v>
      </c>
      <c r="I721">
        <v>14</v>
      </c>
      <c r="J721" t="b">
        <v>1</v>
      </c>
      <c r="K721" t="str">
        <f t="shared" si="11"/>
        <v>sad152004</v>
      </c>
      <c r="L721">
        <f>VLOOKUP(K721,BheightCalcs!I$1:M$429, 5, FALSE)</f>
        <v>7.0449999999999982</v>
      </c>
      <c r="M721">
        <f>VLOOKUP(A721, BheightCalcs!P$1:S$39, 4, FALSE)</f>
        <v>13</v>
      </c>
    </row>
    <row r="722" spans="1:13" x14ac:dyDescent="0.2">
      <c r="A722" t="s">
        <v>126</v>
      </c>
      <c r="B722">
        <v>2004</v>
      </c>
      <c r="C722" t="s">
        <v>108</v>
      </c>
      <c r="D722" t="s">
        <v>15</v>
      </c>
      <c r="E722" t="s">
        <v>127</v>
      </c>
      <c r="F722">
        <v>39</v>
      </c>
      <c r="G722">
        <v>296</v>
      </c>
      <c r="H722" t="s">
        <v>7</v>
      </c>
      <c r="I722">
        <v>14</v>
      </c>
      <c r="J722" t="b">
        <v>1</v>
      </c>
      <c r="K722" t="str">
        <f t="shared" si="11"/>
        <v>sad152004</v>
      </c>
      <c r="L722">
        <f>VLOOKUP(K722,BheightCalcs!I$1:M$429, 5, FALSE)</f>
        <v>7.0449999999999982</v>
      </c>
      <c r="M722">
        <f>VLOOKUP(A722, BheightCalcs!P$1:S$39, 4, FALSE)</f>
        <v>13</v>
      </c>
    </row>
    <row r="723" spans="1:13" x14ac:dyDescent="0.2">
      <c r="A723" t="s">
        <v>126</v>
      </c>
      <c r="B723">
        <v>2005</v>
      </c>
      <c r="C723" t="s">
        <v>108</v>
      </c>
      <c r="D723" t="s">
        <v>12</v>
      </c>
      <c r="E723" t="s">
        <v>128</v>
      </c>
      <c r="F723">
        <v>40</v>
      </c>
      <c r="G723">
        <v>306</v>
      </c>
      <c r="H723" t="s">
        <v>7</v>
      </c>
      <c r="I723">
        <v>14</v>
      </c>
      <c r="J723" t="b">
        <v>1</v>
      </c>
      <c r="K723" t="str">
        <f t="shared" si="11"/>
        <v>sad152005</v>
      </c>
      <c r="L723">
        <f>VLOOKUP(K723,BheightCalcs!I$1:M$429, 5, FALSE)</f>
        <v>8.1174999999999979</v>
      </c>
      <c r="M723">
        <f>VLOOKUP(A723, BheightCalcs!P$1:S$39, 4, FALSE)</f>
        <v>13</v>
      </c>
    </row>
    <row r="724" spans="1:13" x14ac:dyDescent="0.2">
      <c r="A724" t="s">
        <v>126</v>
      </c>
      <c r="B724">
        <v>2005</v>
      </c>
      <c r="C724" t="s">
        <v>108</v>
      </c>
      <c r="D724" t="s">
        <v>15</v>
      </c>
      <c r="E724" t="s">
        <v>127</v>
      </c>
      <c r="F724">
        <v>40</v>
      </c>
      <c r="G724">
        <v>306</v>
      </c>
      <c r="H724" t="s">
        <v>7</v>
      </c>
      <c r="I724">
        <v>14</v>
      </c>
      <c r="J724" t="b">
        <v>1</v>
      </c>
      <c r="K724" t="str">
        <f t="shared" si="11"/>
        <v>sad152005</v>
      </c>
      <c r="L724">
        <f>VLOOKUP(K724,BheightCalcs!I$1:M$429, 5, FALSE)</f>
        <v>8.1174999999999979</v>
      </c>
      <c r="M724">
        <f>VLOOKUP(A724, BheightCalcs!P$1:S$39, 4, FALSE)</f>
        <v>13</v>
      </c>
    </row>
    <row r="725" spans="1:13" x14ac:dyDescent="0.2">
      <c r="A725" t="s">
        <v>126</v>
      </c>
      <c r="B725">
        <v>2006</v>
      </c>
      <c r="C725" t="s">
        <v>108</v>
      </c>
      <c r="D725" t="s">
        <v>15</v>
      </c>
      <c r="E725" t="s">
        <v>127</v>
      </c>
      <c r="F725">
        <v>21</v>
      </c>
      <c r="G725">
        <v>320</v>
      </c>
      <c r="H725" t="s">
        <v>7</v>
      </c>
      <c r="I725">
        <v>14</v>
      </c>
      <c r="J725" t="b">
        <v>1</v>
      </c>
      <c r="K725" t="str">
        <f t="shared" si="11"/>
        <v>sad152006</v>
      </c>
      <c r="L725">
        <f>VLOOKUP(K725,BheightCalcs!I$1:M$429, 5, FALSE)</f>
        <v>8.9399999999999977</v>
      </c>
      <c r="M725">
        <f>VLOOKUP(A725, BheightCalcs!P$1:S$39, 4, FALSE)</f>
        <v>13</v>
      </c>
    </row>
    <row r="726" spans="1:13" x14ac:dyDescent="0.2">
      <c r="A726" t="s">
        <v>126</v>
      </c>
      <c r="B726">
        <v>2006</v>
      </c>
      <c r="C726" t="s">
        <v>108</v>
      </c>
      <c r="D726" t="s">
        <v>12</v>
      </c>
      <c r="E726" t="s">
        <v>128</v>
      </c>
      <c r="F726">
        <v>21</v>
      </c>
      <c r="G726">
        <v>320</v>
      </c>
      <c r="H726" t="s">
        <v>7</v>
      </c>
      <c r="I726">
        <v>14</v>
      </c>
      <c r="J726" t="b">
        <v>1</v>
      </c>
      <c r="K726" t="str">
        <f t="shared" si="11"/>
        <v>sad152006</v>
      </c>
      <c r="L726">
        <f>VLOOKUP(K726,BheightCalcs!I$1:M$429, 5, FALSE)</f>
        <v>8.9399999999999977</v>
      </c>
      <c r="M726">
        <f>VLOOKUP(A726, BheightCalcs!P$1:S$39, 4, FALSE)</f>
        <v>13</v>
      </c>
    </row>
    <row r="727" spans="1:13" x14ac:dyDescent="0.2">
      <c r="A727" t="s">
        <v>126</v>
      </c>
      <c r="B727">
        <v>2007</v>
      </c>
      <c r="C727" t="s">
        <v>108</v>
      </c>
      <c r="D727" t="s">
        <v>12</v>
      </c>
      <c r="E727" t="s">
        <v>128</v>
      </c>
      <c r="F727">
        <v>7</v>
      </c>
      <c r="G727">
        <v>313</v>
      </c>
      <c r="H727" t="s">
        <v>7</v>
      </c>
      <c r="I727">
        <v>14</v>
      </c>
      <c r="J727" t="b">
        <v>1</v>
      </c>
      <c r="K727" t="str">
        <f t="shared" si="11"/>
        <v>sad152007</v>
      </c>
      <c r="L727">
        <f>VLOOKUP(K727,BheightCalcs!I$1:M$429, 5, FALSE)</f>
        <v>9.8674999999999979</v>
      </c>
      <c r="M727">
        <f>VLOOKUP(A727, BheightCalcs!P$1:S$39, 4, FALSE)</f>
        <v>13</v>
      </c>
    </row>
    <row r="728" spans="1:13" x14ac:dyDescent="0.2">
      <c r="A728" t="s">
        <v>126</v>
      </c>
      <c r="B728">
        <v>2007</v>
      </c>
      <c r="C728" t="s">
        <v>108</v>
      </c>
      <c r="D728" t="s">
        <v>15</v>
      </c>
      <c r="E728" t="s">
        <v>127</v>
      </c>
      <c r="F728">
        <v>7</v>
      </c>
      <c r="G728">
        <v>313</v>
      </c>
      <c r="H728" t="s">
        <v>7</v>
      </c>
      <c r="I728">
        <v>14</v>
      </c>
      <c r="J728" t="b">
        <v>1</v>
      </c>
      <c r="K728" t="str">
        <f t="shared" si="11"/>
        <v>sad152007</v>
      </c>
      <c r="L728">
        <f>VLOOKUP(K728,BheightCalcs!I$1:M$429, 5, FALSE)</f>
        <v>9.8674999999999979</v>
      </c>
      <c r="M728">
        <f>VLOOKUP(A728, BheightCalcs!P$1:S$39, 4, FALSE)</f>
        <v>13</v>
      </c>
    </row>
    <row r="729" spans="1:13" x14ac:dyDescent="0.2">
      <c r="A729" t="s">
        <v>126</v>
      </c>
      <c r="B729">
        <v>2008</v>
      </c>
      <c r="C729" t="s">
        <v>108</v>
      </c>
      <c r="D729" t="s">
        <v>15</v>
      </c>
      <c r="E729" t="s">
        <v>127</v>
      </c>
      <c r="F729">
        <v>36</v>
      </c>
      <c r="G729">
        <v>301</v>
      </c>
      <c r="H729" t="s">
        <v>7</v>
      </c>
      <c r="I729">
        <v>14</v>
      </c>
      <c r="J729" t="b">
        <v>1</v>
      </c>
      <c r="K729" t="str">
        <f t="shared" si="11"/>
        <v>sad152008</v>
      </c>
      <c r="L729">
        <f>VLOOKUP(K729,BheightCalcs!I$1:M$429, 5, FALSE)</f>
        <v>10.769999999999998</v>
      </c>
      <c r="M729">
        <f>VLOOKUP(A729, BheightCalcs!P$1:S$39, 4, FALSE)</f>
        <v>13</v>
      </c>
    </row>
    <row r="730" spans="1:13" x14ac:dyDescent="0.2">
      <c r="A730" t="s">
        <v>126</v>
      </c>
      <c r="B730">
        <v>2008</v>
      </c>
      <c r="C730" t="s">
        <v>108</v>
      </c>
      <c r="D730" t="s">
        <v>12</v>
      </c>
      <c r="E730" t="s">
        <v>128</v>
      </c>
      <c r="F730">
        <v>36</v>
      </c>
      <c r="G730">
        <v>301</v>
      </c>
      <c r="H730" t="s">
        <v>7</v>
      </c>
      <c r="I730">
        <v>14</v>
      </c>
      <c r="J730" t="b">
        <v>1</v>
      </c>
      <c r="K730" t="str">
        <f t="shared" si="11"/>
        <v>sad152008</v>
      </c>
      <c r="L730">
        <f>VLOOKUP(K730,BheightCalcs!I$1:M$429, 5, FALSE)</f>
        <v>10.769999999999998</v>
      </c>
      <c r="M730">
        <f>VLOOKUP(A730, BheightCalcs!P$1:S$39, 4, FALSE)</f>
        <v>13</v>
      </c>
    </row>
    <row r="731" spans="1:13" x14ac:dyDescent="0.2">
      <c r="A731" t="s">
        <v>126</v>
      </c>
      <c r="B731">
        <v>2009</v>
      </c>
      <c r="C731" t="s">
        <v>108</v>
      </c>
      <c r="D731" t="s">
        <v>12</v>
      </c>
      <c r="E731" t="s">
        <v>128</v>
      </c>
      <c r="F731">
        <v>42</v>
      </c>
      <c r="G731">
        <v>341</v>
      </c>
      <c r="H731" t="s">
        <v>7</v>
      </c>
      <c r="I731">
        <v>14</v>
      </c>
      <c r="J731" t="b">
        <v>1</v>
      </c>
      <c r="K731" t="str">
        <f t="shared" si="11"/>
        <v>sad152009</v>
      </c>
      <c r="L731">
        <f>VLOOKUP(K731,BheightCalcs!I$1:M$429, 5, FALSE)</f>
        <v>11.597499999999998</v>
      </c>
      <c r="M731">
        <f>VLOOKUP(A731, BheightCalcs!P$1:S$39, 4, FALSE)</f>
        <v>13</v>
      </c>
    </row>
    <row r="732" spans="1:13" x14ac:dyDescent="0.2">
      <c r="A732" t="s">
        <v>126</v>
      </c>
      <c r="B732">
        <v>2009</v>
      </c>
      <c r="C732" t="s">
        <v>108</v>
      </c>
      <c r="D732" t="s">
        <v>15</v>
      </c>
      <c r="E732" t="s">
        <v>127</v>
      </c>
      <c r="F732">
        <v>42</v>
      </c>
      <c r="G732">
        <v>341</v>
      </c>
      <c r="H732" t="s">
        <v>7</v>
      </c>
      <c r="I732">
        <v>14</v>
      </c>
      <c r="J732" t="b">
        <v>1</v>
      </c>
      <c r="K732" t="str">
        <f t="shared" si="11"/>
        <v>sad152009</v>
      </c>
      <c r="L732">
        <f>VLOOKUP(K732,BheightCalcs!I$1:M$429, 5, FALSE)</f>
        <v>11.597499999999998</v>
      </c>
      <c r="M732">
        <f>VLOOKUP(A732, BheightCalcs!P$1:S$39, 4, FALSE)</f>
        <v>13</v>
      </c>
    </row>
    <row r="733" spans="1:13" x14ac:dyDescent="0.2">
      <c r="A733" t="s">
        <v>126</v>
      </c>
      <c r="B733">
        <v>2010</v>
      </c>
      <c r="C733" t="s">
        <v>108</v>
      </c>
      <c r="D733" t="s">
        <v>12</v>
      </c>
      <c r="E733" t="s">
        <v>128</v>
      </c>
      <c r="F733">
        <v>41</v>
      </c>
      <c r="G733">
        <v>296</v>
      </c>
      <c r="H733" t="s">
        <v>7</v>
      </c>
      <c r="I733">
        <v>14</v>
      </c>
      <c r="J733" t="b">
        <v>1</v>
      </c>
      <c r="K733" t="str">
        <f t="shared" si="11"/>
        <v>sad152010</v>
      </c>
      <c r="L733">
        <f>VLOOKUP(K733,BheightCalcs!I$1:M$429, 5, FALSE)</f>
        <v>12.382499999999999</v>
      </c>
      <c r="M733">
        <f>VLOOKUP(A733, BheightCalcs!P$1:S$39, 4, FALSE)</f>
        <v>13</v>
      </c>
    </row>
    <row r="734" spans="1:13" x14ac:dyDescent="0.2">
      <c r="A734" t="s">
        <v>126</v>
      </c>
      <c r="B734">
        <v>2010</v>
      </c>
      <c r="C734" t="s">
        <v>108</v>
      </c>
      <c r="D734" t="s">
        <v>15</v>
      </c>
      <c r="E734" t="s">
        <v>127</v>
      </c>
      <c r="F734">
        <v>41</v>
      </c>
      <c r="G734">
        <v>296</v>
      </c>
      <c r="H734" t="s">
        <v>7</v>
      </c>
      <c r="I734">
        <v>14</v>
      </c>
      <c r="J734" t="b">
        <v>1</v>
      </c>
      <c r="K734" t="str">
        <f t="shared" si="11"/>
        <v>sad152010</v>
      </c>
      <c r="L734">
        <f>VLOOKUP(K734,BheightCalcs!I$1:M$429, 5, FALSE)</f>
        <v>12.382499999999999</v>
      </c>
      <c r="M734">
        <f>VLOOKUP(A734, BheightCalcs!P$1:S$39, 4, FALSE)</f>
        <v>13</v>
      </c>
    </row>
    <row r="735" spans="1:13" x14ac:dyDescent="0.2">
      <c r="A735" t="s">
        <v>126</v>
      </c>
      <c r="B735">
        <v>2011</v>
      </c>
      <c r="C735" t="s">
        <v>108</v>
      </c>
      <c r="D735" t="s">
        <v>12</v>
      </c>
      <c r="E735" t="s">
        <v>128</v>
      </c>
      <c r="F735">
        <v>47</v>
      </c>
      <c r="G735">
        <v>337</v>
      </c>
      <c r="H735" t="s">
        <v>7</v>
      </c>
      <c r="I735">
        <v>14</v>
      </c>
      <c r="J735" t="b">
        <v>1</v>
      </c>
      <c r="K735" t="str">
        <f t="shared" si="11"/>
        <v>sad152011</v>
      </c>
      <c r="L735">
        <f>VLOOKUP(K735,BheightCalcs!I$1:M$429, 5, FALSE)</f>
        <v>13.004999999999999</v>
      </c>
      <c r="M735">
        <f>VLOOKUP(A735, BheightCalcs!P$1:S$39, 4, FALSE)</f>
        <v>13</v>
      </c>
    </row>
    <row r="736" spans="1:13" x14ac:dyDescent="0.2">
      <c r="A736" t="s">
        <v>126</v>
      </c>
      <c r="B736">
        <v>2011</v>
      </c>
      <c r="C736" t="s">
        <v>108</v>
      </c>
      <c r="D736" t="s">
        <v>15</v>
      </c>
      <c r="E736" t="s">
        <v>127</v>
      </c>
      <c r="F736">
        <v>47</v>
      </c>
      <c r="G736">
        <v>337</v>
      </c>
      <c r="H736" t="s">
        <v>7</v>
      </c>
      <c r="I736">
        <v>14</v>
      </c>
      <c r="J736" t="b">
        <v>1</v>
      </c>
      <c r="K736" t="str">
        <f t="shared" si="11"/>
        <v>sad152011</v>
      </c>
      <c r="L736">
        <f>VLOOKUP(K736,BheightCalcs!I$1:M$429, 5, FALSE)</f>
        <v>13.004999999999999</v>
      </c>
      <c r="M736">
        <f>VLOOKUP(A736, BheightCalcs!P$1:S$39, 4, FALSE)</f>
        <v>13</v>
      </c>
    </row>
    <row r="737" spans="1:13" x14ac:dyDescent="0.2">
      <c r="A737" t="s">
        <v>126</v>
      </c>
      <c r="B737">
        <v>2012</v>
      </c>
      <c r="C737" t="s">
        <v>108</v>
      </c>
      <c r="D737" t="s">
        <v>12</v>
      </c>
      <c r="E737" t="s">
        <v>128</v>
      </c>
      <c r="F737">
        <v>23</v>
      </c>
      <c r="G737">
        <v>299</v>
      </c>
      <c r="H737" t="s">
        <v>7</v>
      </c>
      <c r="I737">
        <v>14</v>
      </c>
      <c r="J737" t="b">
        <v>1</v>
      </c>
      <c r="K737" t="str">
        <f t="shared" si="11"/>
        <v>sad152012</v>
      </c>
      <c r="L737">
        <f>VLOOKUP(K737,BheightCalcs!I$1:M$429, 5, FALSE)</f>
        <v>13.547499999999999</v>
      </c>
      <c r="M737">
        <f>VLOOKUP(A737, BheightCalcs!P$1:S$39, 4, FALSE)</f>
        <v>13</v>
      </c>
    </row>
    <row r="738" spans="1:13" x14ac:dyDescent="0.2">
      <c r="A738" t="s">
        <v>126</v>
      </c>
      <c r="B738">
        <v>2012</v>
      </c>
      <c r="C738" t="s">
        <v>108</v>
      </c>
      <c r="D738" t="s">
        <v>15</v>
      </c>
      <c r="E738" t="s">
        <v>127</v>
      </c>
      <c r="F738">
        <v>23</v>
      </c>
      <c r="G738">
        <v>299</v>
      </c>
      <c r="H738" t="s">
        <v>7</v>
      </c>
      <c r="I738">
        <v>14</v>
      </c>
      <c r="J738" t="b">
        <v>1</v>
      </c>
      <c r="K738" t="str">
        <f t="shared" si="11"/>
        <v>sad152012</v>
      </c>
      <c r="L738">
        <f>VLOOKUP(K738,BheightCalcs!I$1:M$429, 5, FALSE)</f>
        <v>13.547499999999999</v>
      </c>
      <c r="M738">
        <f>VLOOKUP(A738, BheightCalcs!P$1:S$39, 4, FALSE)</f>
        <v>13</v>
      </c>
    </row>
    <row r="739" spans="1:13" x14ac:dyDescent="0.2">
      <c r="A739" t="s">
        <v>126</v>
      </c>
      <c r="B739">
        <v>2013</v>
      </c>
      <c r="C739" t="s">
        <v>108</v>
      </c>
      <c r="D739" t="s">
        <v>15</v>
      </c>
      <c r="E739" t="s">
        <v>127</v>
      </c>
      <c r="F739">
        <v>20</v>
      </c>
      <c r="G739">
        <v>299</v>
      </c>
      <c r="H739" t="s">
        <v>7</v>
      </c>
      <c r="I739">
        <v>14</v>
      </c>
      <c r="J739" t="b">
        <v>1</v>
      </c>
      <c r="K739" t="str">
        <f t="shared" si="11"/>
        <v>sad152013</v>
      </c>
      <c r="L739">
        <f>VLOOKUP(K739,BheightCalcs!I$1:M$429, 5, FALSE)</f>
        <v>14</v>
      </c>
      <c r="M739">
        <f>VLOOKUP(A739, BheightCalcs!P$1:S$39, 4, FALSE)</f>
        <v>13</v>
      </c>
    </row>
    <row r="740" spans="1:13" x14ac:dyDescent="0.2">
      <c r="A740" t="s">
        <v>126</v>
      </c>
      <c r="B740">
        <v>2013</v>
      </c>
      <c r="C740" t="s">
        <v>108</v>
      </c>
      <c r="D740" t="s">
        <v>12</v>
      </c>
      <c r="E740" t="s">
        <v>128</v>
      </c>
      <c r="F740">
        <v>20</v>
      </c>
      <c r="G740">
        <v>299</v>
      </c>
      <c r="H740" t="s">
        <v>7</v>
      </c>
      <c r="I740">
        <v>14</v>
      </c>
      <c r="J740" t="b">
        <v>1</v>
      </c>
      <c r="K740" t="str">
        <f t="shared" si="11"/>
        <v>sad152013</v>
      </c>
      <c r="L740">
        <f>VLOOKUP(K740,BheightCalcs!I$1:M$429, 5, FALSE)</f>
        <v>14</v>
      </c>
      <c r="M740">
        <f>VLOOKUP(A740, BheightCalcs!P$1:S$39, 4, FALSE)</f>
        <v>13</v>
      </c>
    </row>
    <row r="741" spans="1:13" x14ac:dyDescent="0.2">
      <c r="A741" t="s">
        <v>129</v>
      </c>
      <c r="B741">
        <v>2004</v>
      </c>
      <c r="C741" t="s">
        <v>108</v>
      </c>
      <c r="D741" t="s">
        <v>12</v>
      </c>
      <c r="E741" t="s">
        <v>131</v>
      </c>
      <c r="F741">
        <v>39</v>
      </c>
      <c r="G741">
        <v>296</v>
      </c>
      <c r="H741" t="s">
        <v>7</v>
      </c>
      <c r="I741">
        <v>7</v>
      </c>
      <c r="J741" t="b">
        <v>1</v>
      </c>
      <c r="K741" t="str">
        <f t="shared" si="11"/>
        <v>sad222004</v>
      </c>
      <c r="L741">
        <f>VLOOKUP(K741,BheightCalcs!I$1:M$429, 5, FALSE)</f>
        <v>1.1953999999999994</v>
      </c>
      <c r="M741">
        <f>VLOOKUP(A741, BheightCalcs!P$1:S$39, 4, FALSE)</f>
        <v>9</v>
      </c>
    </row>
    <row r="742" spans="1:13" x14ac:dyDescent="0.2">
      <c r="A742" t="s">
        <v>129</v>
      </c>
      <c r="B742">
        <v>2005</v>
      </c>
      <c r="C742" t="s">
        <v>108</v>
      </c>
      <c r="D742" t="s">
        <v>15</v>
      </c>
      <c r="E742" t="s">
        <v>130</v>
      </c>
      <c r="F742">
        <v>40</v>
      </c>
      <c r="G742">
        <v>306</v>
      </c>
      <c r="H742" t="s">
        <v>7</v>
      </c>
      <c r="I742">
        <v>7</v>
      </c>
      <c r="J742" t="b">
        <v>1</v>
      </c>
      <c r="K742" t="str">
        <f t="shared" si="11"/>
        <v>sad222005</v>
      </c>
      <c r="L742">
        <f>VLOOKUP(K742,BheightCalcs!I$1:M$429, 5, FALSE)</f>
        <v>2.2069999999999994</v>
      </c>
      <c r="M742">
        <f>VLOOKUP(A742, BheightCalcs!P$1:S$39, 4, FALSE)</f>
        <v>9</v>
      </c>
    </row>
    <row r="743" spans="1:13" x14ac:dyDescent="0.2">
      <c r="A743" t="s">
        <v>129</v>
      </c>
      <c r="B743">
        <v>2005</v>
      </c>
      <c r="C743" t="s">
        <v>108</v>
      </c>
      <c r="D743" t="s">
        <v>12</v>
      </c>
      <c r="E743" t="s">
        <v>131</v>
      </c>
      <c r="F743">
        <v>40</v>
      </c>
      <c r="G743">
        <v>306</v>
      </c>
      <c r="H743" t="s">
        <v>7</v>
      </c>
      <c r="I743">
        <v>7</v>
      </c>
      <c r="J743" t="b">
        <v>1</v>
      </c>
      <c r="K743" t="str">
        <f t="shared" si="11"/>
        <v>sad222005</v>
      </c>
      <c r="L743">
        <f>VLOOKUP(K743,BheightCalcs!I$1:M$429, 5, FALSE)</f>
        <v>2.2069999999999994</v>
      </c>
      <c r="M743">
        <f>VLOOKUP(A743, BheightCalcs!P$1:S$39, 4, FALSE)</f>
        <v>9</v>
      </c>
    </row>
    <row r="744" spans="1:13" x14ac:dyDescent="0.2">
      <c r="A744" t="s">
        <v>129</v>
      </c>
      <c r="B744">
        <v>2006</v>
      </c>
      <c r="C744" t="s">
        <v>108</v>
      </c>
      <c r="D744" t="s">
        <v>15</v>
      </c>
      <c r="E744" t="s">
        <v>130</v>
      </c>
      <c r="F744">
        <v>21</v>
      </c>
      <c r="G744">
        <v>320</v>
      </c>
      <c r="H744" t="s">
        <v>7</v>
      </c>
      <c r="I744">
        <v>7</v>
      </c>
      <c r="J744" t="b">
        <v>1</v>
      </c>
      <c r="K744" t="str">
        <f t="shared" si="11"/>
        <v>sad222006</v>
      </c>
      <c r="L744">
        <f>VLOOKUP(K744,BheightCalcs!I$1:M$429, 5, FALSE)</f>
        <v>2.6862499999999994</v>
      </c>
      <c r="M744">
        <f>VLOOKUP(A744, BheightCalcs!P$1:S$39, 4, FALSE)</f>
        <v>9</v>
      </c>
    </row>
    <row r="745" spans="1:13" x14ac:dyDescent="0.2">
      <c r="A745" t="s">
        <v>129</v>
      </c>
      <c r="B745">
        <v>2006</v>
      </c>
      <c r="C745" t="s">
        <v>108</v>
      </c>
      <c r="D745" t="s">
        <v>12</v>
      </c>
      <c r="E745" t="s">
        <v>131</v>
      </c>
      <c r="F745">
        <v>21</v>
      </c>
      <c r="G745">
        <v>320</v>
      </c>
      <c r="H745" t="s">
        <v>7</v>
      </c>
      <c r="I745">
        <v>7</v>
      </c>
      <c r="J745" t="b">
        <v>1</v>
      </c>
      <c r="K745" t="str">
        <f t="shared" si="11"/>
        <v>sad222006</v>
      </c>
      <c r="L745">
        <f>VLOOKUP(K745,BheightCalcs!I$1:M$429, 5, FALSE)</f>
        <v>2.6862499999999994</v>
      </c>
      <c r="M745">
        <f>VLOOKUP(A745, BheightCalcs!P$1:S$39, 4, FALSE)</f>
        <v>9</v>
      </c>
    </row>
    <row r="746" spans="1:13" x14ac:dyDescent="0.2">
      <c r="A746" t="s">
        <v>129</v>
      </c>
      <c r="B746">
        <v>2007</v>
      </c>
      <c r="C746" t="s">
        <v>108</v>
      </c>
      <c r="D746" t="s">
        <v>12</v>
      </c>
      <c r="E746" t="s">
        <v>131</v>
      </c>
      <c r="F746">
        <v>7</v>
      </c>
      <c r="G746">
        <v>313</v>
      </c>
      <c r="H746" t="s">
        <v>7</v>
      </c>
      <c r="I746">
        <v>7</v>
      </c>
      <c r="J746" t="b">
        <v>1</v>
      </c>
      <c r="K746" t="str">
        <f t="shared" si="11"/>
        <v>sad222007</v>
      </c>
      <c r="L746">
        <f>VLOOKUP(K746,BheightCalcs!I$1:M$429, 5, FALSE)</f>
        <v>3.4001499999999996</v>
      </c>
      <c r="M746">
        <f>VLOOKUP(A746, BheightCalcs!P$1:S$39, 4, FALSE)</f>
        <v>9</v>
      </c>
    </row>
    <row r="747" spans="1:13" x14ac:dyDescent="0.2">
      <c r="A747" t="s">
        <v>129</v>
      </c>
      <c r="B747">
        <v>2007</v>
      </c>
      <c r="C747" t="s">
        <v>108</v>
      </c>
      <c r="D747" t="s">
        <v>15</v>
      </c>
      <c r="E747" t="s">
        <v>130</v>
      </c>
      <c r="F747">
        <v>7</v>
      </c>
      <c r="G747">
        <v>313</v>
      </c>
      <c r="H747" t="s">
        <v>7</v>
      </c>
      <c r="I747">
        <v>7</v>
      </c>
      <c r="J747" t="b">
        <v>1</v>
      </c>
      <c r="K747" t="str">
        <f t="shared" si="11"/>
        <v>sad222007</v>
      </c>
      <c r="L747">
        <f>VLOOKUP(K747,BheightCalcs!I$1:M$429, 5, FALSE)</f>
        <v>3.4001499999999996</v>
      </c>
      <c r="M747">
        <f>VLOOKUP(A747, BheightCalcs!P$1:S$39, 4, FALSE)</f>
        <v>9</v>
      </c>
    </row>
    <row r="748" spans="1:13" x14ac:dyDescent="0.2">
      <c r="A748" t="s">
        <v>129</v>
      </c>
      <c r="B748">
        <v>2008</v>
      </c>
      <c r="C748" t="s">
        <v>108</v>
      </c>
      <c r="D748" t="s">
        <v>12</v>
      </c>
      <c r="E748" t="s">
        <v>131</v>
      </c>
      <c r="F748">
        <v>36</v>
      </c>
      <c r="G748">
        <v>301</v>
      </c>
      <c r="H748" t="s">
        <v>7</v>
      </c>
      <c r="I748">
        <v>7</v>
      </c>
      <c r="J748" t="b">
        <v>1</v>
      </c>
      <c r="K748" t="str">
        <f t="shared" si="11"/>
        <v>sad222008</v>
      </c>
      <c r="L748">
        <f>VLOOKUP(K748,BheightCalcs!I$1:M$429, 5, FALSE)</f>
        <v>4.2452499999999995</v>
      </c>
      <c r="M748">
        <f>VLOOKUP(A748, BheightCalcs!P$1:S$39, 4, FALSE)</f>
        <v>9</v>
      </c>
    </row>
    <row r="749" spans="1:13" x14ac:dyDescent="0.2">
      <c r="A749" t="s">
        <v>129</v>
      </c>
      <c r="B749">
        <v>2008</v>
      </c>
      <c r="C749" t="s">
        <v>108</v>
      </c>
      <c r="D749" t="s">
        <v>15</v>
      </c>
      <c r="E749" t="s">
        <v>130</v>
      </c>
      <c r="F749">
        <v>36</v>
      </c>
      <c r="G749">
        <v>301</v>
      </c>
      <c r="H749" t="s">
        <v>7</v>
      </c>
      <c r="I749">
        <v>7</v>
      </c>
      <c r="J749" t="b">
        <v>1</v>
      </c>
      <c r="K749" t="str">
        <f t="shared" si="11"/>
        <v>sad222008</v>
      </c>
      <c r="L749">
        <f>VLOOKUP(K749,BheightCalcs!I$1:M$429, 5, FALSE)</f>
        <v>4.2452499999999995</v>
      </c>
      <c r="M749">
        <f>VLOOKUP(A749, BheightCalcs!P$1:S$39, 4, FALSE)</f>
        <v>9</v>
      </c>
    </row>
    <row r="750" spans="1:13" x14ac:dyDescent="0.2">
      <c r="A750" t="s">
        <v>129</v>
      </c>
      <c r="B750">
        <v>2009</v>
      </c>
      <c r="C750" t="s">
        <v>108</v>
      </c>
      <c r="D750" t="s">
        <v>15</v>
      </c>
      <c r="E750" t="s">
        <v>130</v>
      </c>
      <c r="F750">
        <v>42</v>
      </c>
      <c r="G750">
        <v>341</v>
      </c>
      <c r="H750" t="s">
        <v>7</v>
      </c>
      <c r="I750">
        <v>7</v>
      </c>
      <c r="J750" t="b">
        <v>1</v>
      </c>
      <c r="K750" t="str">
        <f t="shared" si="11"/>
        <v>sad222009</v>
      </c>
      <c r="L750">
        <f>VLOOKUP(K750,BheightCalcs!I$1:M$429, 5, FALSE)</f>
        <v>4.7497499999999997</v>
      </c>
      <c r="M750">
        <f>VLOOKUP(A750, BheightCalcs!P$1:S$39, 4, FALSE)</f>
        <v>9</v>
      </c>
    </row>
    <row r="751" spans="1:13" x14ac:dyDescent="0.2">
      <c r="A751" t="s">
        <v>129</v>
      </c>
      <c r="B751">
        <v>2009</v>
      </c>
      <c r="C751" t="s">
        <v>108</v>
      </c>
      <c r="D751" t="s">
        <v>12</v>
      </c>
      <c r="E751" t="s">
        <v>131</v>
      </c>
      <c r="F751">
        <v>42</v>
      </c>
      <c r="G751">
        <v>341</v>
      </c>
      <c r="H751" t="s">
        <v>7</v>
      </c>
      <c r="I751">
        <v>7</v>
      </c>
      <c r="J751" t="b">
        <v>1</v>
      </c>
      <c r="K751" t="str">
        <f t="shared" si="11"/>
        <v>sad222009</v>
      </c>
      <c r="L751">
        <f>VLOOKUP(K751,BheightCalcs!I$1:M$429, 5, FALSE)</f>
        <v>4.7497499999999997</v>
      </c>
      <c r="M751">
        <f>VLOOKUP(A751, BheightCalcs!P$1:S$39, 4, FALSE)</f>
        <v>9</v>
      </c>
    </row>
    <row r="752" spans="1:13" x14ac:dyDescent="0.2">
      <c r="A752" t="s">
        <v>129</v>
      </c>
      <c r="B752">
        <v>2010</v>
      </c>
      <c r="C752" t="s">
        <v>108</v>
      </c>
      <c r="D752" t="s">
        <v>12</v>
      </c>
      <c r="E752" t="s">
        <v>131</v>
      </c>
      <c r="F752">
        <v>41</v>
      </c>
      <c r="G752">
        <v>296</v>
      </c>
      <c r="H752" t="s">
        <v>7</v>
      </c>
      <c r="I752">
        <v>7</v>
      </c>
      <c r="J752" t="b">
        <v>1</v>
      </c>
      <c r="K752" t="str">
        <f t="shared" si="11"/>
        <v>sad222010</v>
      </c>
      <c r="L752">
        <f>VLOOKUP(K752,BheightCalcs!I$1:M$429, 5, FALSE)</f>
        <v>5.2012999999999998</v>
      </c>
      <c r="M752">
        <f>VLOOKUP(A752, BheightCalcs!P$1:S$39, 4, FALSE)</f>
        <v>9</v>
      </c>
    </row>
    <row r="753" spans="1:13" x14ac:dyDescent="0.2">
      <c r="A753" t="s">
        <v>129</v>
      </c>
      <c r="B753">
        <v>2010</v>
      </c>
      <c r="C753" t="s">
        <v>108</v>
      </c>
      <c r="D753" t="s">
        <v>15</v>
      </c>
      <c r="E753" t="s">
        <v>130</v>
      </c>
      <c r="F753">
        <v>41</v>
      </c>
      <c r="G753">
        <v>296</v>
      </c>
      <c r="H753" t="s">
        <v>7</v>
      </c>
      <c r="I753">
        <v>7</v>
      </c>
      <c r="J753" t="b">
        <v>1</v>
      </c>
      <c r="K753" t="str">
        <f t="shared" si="11"/>
        <v>sad222010</v>
      </c>
      <c r="L753">
        <f>VLOOKUP(K753,BheightCalcs!I$1:M$429, 5, FALSE)</f>
        <v>5.2012999999999998</v>
      </c>
      <c r="M753">
        <f>VLOOKUP(A753, BheightCalcs!P$1:S$39, 4, FALSE)</f>
        <v>9</v>
      </c>
    </row>
    <row r="754" spans="1:13" x14ac:dyDescent="0.2">
      <c r="A754" t="s">
        <v>129</v>
      </c>
      <c r="B754">
        <v>2011</v>
      </c>
      <c r="C754" t="s">
        <v>108</v>
      </c>
      <c r="D754" t="s">
        <v>15</v>
      </c>
      <c r="E754" t="s">
        <v>130</v>
      </c>
      <c r="F754">
        <v>47</v>
      </c>
      <c r="G754">
        <v>337</v>
      </c>
      <c r="H754" t="s">
        <v>7</v>
      </c>
      <c r="I754">
        <v>7</v>
      </c>
      <c r="J754" t="b">
        <v>1</v>
      </c>
      <c r="K754" t="str">
        <f t="shared" si="11"/>
        <v>sad222011</v>
      </c>
      <c r="L754">
        <f>VLOOKUP(K754,BheightCalcs!I$1:M$429, 5, FALSE)</f>
        <v>5.7386499999999998</v>
      </c>
      <c r="M754">
        <f>VLOOKUP(A754, BheightCalcs!P$1:S$39, 4, FALSE)</f>
        <v>9</v>
      </c>
    </row>
    <row r="755" spans="1:13" x14ac:dyDescent="0.2">
      <c r="A755" t="s">
        <v>129</v>
      </c>
      <c r="B755">
        <v>2011</v>
      </c>
      <c r="C755" t="s">
        <v>108</v>
      </c>
      <c r="D755" t="s">
        <v>12</v>
      </c>
      <c r="E755" t="s">
        <v>131</v>
      </c>
      <c r="F755">
        <v>47</v>
      </c>
      <c r="G755">
        <v>337</v>
      </c>
      <c r="H755" t="s">
        <v>7</v>
      </c>
      <c r="I755">
        <v>7</v>
      </c>
      <c r="J755" t="b">
        <v>1</v>
      </c>
      <c r="K755" t="str">
        <f t="shared" si="11"/>
        <v>sad222011</v>
      </c>
      <c r="L755">
        <f>VLOOKUP(K755,BheightCalcs!I$1:M$429, 5, FALSE)</f>
        <v>5.7386499999999998</v>
      </c>
      <c r="M755">
        <f>VLOOKUP(A755, BheightCalcs!P$1:S$39, 4, FALSE)</f>
        <v>9</v>
      </c>
    </row>
    <row r="756" spans="1:13" x14ac:dyDescent="0.2">
      <c r="A756" t="s">
        <v>129</v>
      </c>
      <c r="B756">
        <v>2012</v>
      </c>
      <c r="C756" t="s">
        <v>108</v>
      </c>
      <c r="D756" t="s">
        <v>12</v>
      </c>
      <c r="E756" t="s">
        <v>131</v>
      </c>
      <c r="F756">
        <v>23</v>
      </c>
      <c r="G756">
        <v>299</v>
      </c>
      <c r="H756" t="s">
        <v>7</v>
      </c>
      <c r="I756">
        <v>7</v>
      </c>
      <c r="J756" t="b">
        <v>1</v>
      </c>
      <c r="K756" t="str">
        <f t="shared" si="11"/>
        <v>sad222012</v>
      </c>
      <c r="L756">
        <f>VLOOKUP(K756,BheightCalcs!I$1:M$429, 5, FALSE)</f>
        <v>6.2482499999999996</v>
      </c>
      <c r="M756">
        <f>VLOOKUP(A756, BheightCalcs!P$1:S$39, 4, FALSE)</f>
        <v>9</v>
      </c>
    </row>
    <row r="757" spans="1:13" x14ac:dyDescent="0.2">
      <c r="A757" t="s">
        <v>129</v>
      </c>
      <c r="B757">
        <v>2012</v>
      </c>
      <c r="C757" t="s">
        <v>108</v>
      </c>
      <c r="D757" t="s">
        <v>15</v>
      </c>
      <c r="E757" t="s">
        <v>130</v>
      </c>
      <c r="F757">
        <v>23</v>
      </c>
      <c r="G757">
        <v>299</v>
      </c>
      <c r="H757" t="s">
        <v>7</v>
      </c>
      <c r="I757">
        <v>7</v>
      </c>
      <c r="J757" t="b">
        <v>1</v>
      </c>
      <c r="K757" t="str">
        <f t="shared" si="11"/>
        <v>sad222012</v>
      </c>
      <c r="L757">
        <f>VLOOKUP(K757,BheightCalcs!I$1:M$429, 5, FALSE)</f>
        <v>6.2482499999999996</v>
      </c>
      <c r="M757">
        <f>VLOOKUP(A757, BheightCalcs!P$1:S$39, 4, FALSE)</f>
        <v>9</v>
      </c>
    </row>
    <row r="758" spans="1:13" x14ac:dyDescent="0.2">
      <c r="A758" t="s">
        <v>129</v>
      </c>
      <c r="B758">
        <v>2013</v>
      </c>
      <c r="C758" t="s">
        <v>108</v>
      </c>
      <c r="D758" t="s">
        <v>15</v>
      </c>
      <c r="E758" t="s">
        <v>130</v>
      </c>
      <c r="F758">
        <v>20</v>
      </c>
      <c r="G758">
        <v>299</v>
      </c>
      <c r="H758" t="s">
        <v>7</v>
      </c>
      <c r="I758">
        <v>7</v>
      </c>
      <c r="J758" t="b">
        <v>1</v>
      </c>
      <c r="K758" t="str">
        <f t="shared" si="11"/>
        <v>sad222013</v>
      </c>
      <c r="L758">
        <f>VLOOKUP(K758,BheightCalcs!I$1:M$429, 5, FALSE)</f>
        <v>7</v>
      </c>
      <c r="M758">
        <f>VLOOKUP(A758, BheightCalcs!P$1:S$39, 4, FALSE)</f>
        <v>9</v>
      </c>
    </row>
    <row r="759" spans="1:13" x14ac:dyDescent="0.2">
      <c r="A759" t="s">
        <v>129</v>
      </c>
      <c r="B759">
        <v>2013</v>
      </c>
      <c r="C759" t="s">
        <v>108</v>
      </c>
      <c r="D759" t="s">
        <v>12</v>
      </c>
      <c r="E759" t="s">
        <v>131</v>
      </c>
      <c r="F759">
        <v>20</v>
      </c>
      <c r="G759">
        <v>299</v>
      </c>
      <c r="H759" t="s">
        <v>7</v>
      </c>
      <c r="I759">
        <v>7</v>
      </c>
      <c r="J759" t="b">
        <v>1</v>
      </c>
      <c r="K759" t="str">
        <f t="shared" si="11"/>
        <v>sad222013</v>
      </c>
      <c r="L759">
        <f>VLOOKUP(K759,BheightCalcs!I$1:M$429, 5, FALSE)</f>
        <v>7</v>
      </c>
      <c r="M759">
        <f>VLOOKUP(A759, BheightCalcs!P$1:S$39, 4, FALSE)</f>
        <v>9</v>
      </c>
    </row>
  </sheetData>
  <sortState xmlns:xlrd2="http://schemas.microsoft.com/office/spreadsheetml/2017/richdata2" ref="A2:J759">
    <sortCondition ref="A2:A759"/>
    <sortCondition ref="B2:B75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4"/>
  <sheetViews>
    <sheetView topLeftCell="A163" workbookViewId="0">
      <selection activeCell="E206" sqref="E206"/>
    </sheetView>
  </sheetViews>
  <sheetFormatPr baseColWidth="10" defaultRowHeight="16" x14ac:dyDescent="0.2"/>
  <cols>
    <col min="1" max="1" width="13" bestFit="1" customWidth="1"/>
    <col min="2" max="2" width="11.1640625" bestFit="1" customWidth="1"/>
    <col min="3" max="3" width="10.6640625" bestFit="1" customWidth="1"/>
    <col min="4" max="5" width="12.6640625" customWidth="1"/>
  </cols>
  <sheetData>
    <row r="1" spans="1:19" x14ac:dyDescent="0.2">
      <c r="G1" t="s">
        <v>0</v>
      </c>
      <c r="H1" s="4" t="s">
        <v>132</v>
      </c>
      <c r="I1" s="4" t="s">
        <v>137</v>
      </c>
      <c r="J1" s="4" t="s">
        <v>134</v>
      </c>
      <c r="K1" s="4" t="s">
        <v>135</v>
      </c>
      <c r="L1" s="7" t="s">
        <v>138</v>
      </c>
      <c r="M1" t="s">
        <v>136</v>
      </c>
      <c r="P1" t="s">
        <v>0</v>
      </c>
      <c r="Q1" t="s">
        <v>142</v>
      </c>
      <c r="R1" t="s">
        <v>143</v>
      </c>
      <c r="S1" t="s">
        <v>144</v>
      </c>
    </row>
    <row r="2" spans="1:19" x14ac:dyDescent="0.2">
      <c r="G2" s="5" t="s">
        <v>10</v>
      </c>
      <c r="H2" s="3">
        <v>2005</v>
      </c>
      <c r="I2" s="5" t="str">
        <f t="shared" ref="I2:I65" si="0">CONCATENATE(G2,H2)</f>
        <v>ala012005</v>
      </c>
      <c r="J2">
        <v>0.61550000000000005</v>
      </c>
      <c r="K2">
        <v>7</v>
      </c>
      <c r="L2">
        <f t="shared" ref="L2:L7" si="1">L3-J3</f>
        <v>2.1262500000000002</v>
      </c>
      <c r="M2">
        <v>2.1262500000000002</v>
      </c>
      <c r="P2" s="2" t="s">
        <v>10</v>
      </c>
      <c r="Q2">
        <v>2013</v>
      </c>
      <c r="R2">
        <v>2005</v>
      </c>
      <c r="S2">
        <f>Q2-R2</f>
        <v>8</v>
      </c>
    </row>
    <row r="3" spans="1:19" x14ac:dyDescent="0.2">
      <c r="A3" s="1" t="s">
        <v>132</v>
      </c>
      <c r="B3" t="s">
        <v>134</v>
      </c>
      <c r="C3" t="s">
        <v>135</v>
      </c>
      <c r="G3" s="5" t="s">
        <v>10</v>
      </c>
      <c r="H3" s="3">
        <v>2006</v>
      </c>
      <c r="I3" s="5" t="str">
        <f t="shared" si="0"/>
        <v>ala012006</v>
      </c>
      <c r="J3">
        <v>0.46925000000000006</v>
      </c>
      <c r="K3">
        <v>7</v>
      </c>
      <c r="L3">
        <f t="shared" si="1"/>
        <v>2.5955000000000004</v>
      </c>
      <c r="M3">
        <v>2.5955000000000004</v>
      </c>
      <c r="P3" s="2" t="s">
        <v>17</v>
      </c>
      <c r="Q3">
        <v>2013</v>
      </c>
      <c r="R3">
        <v>2010</v>
      </c>
      <c r="S3">
        <f t="shared" ref="S3:S39" si="2">Q3-R3</f>
        <v>3</v>
      </c>
    </row>
    <row r="4" spans="1:19" x14ac:dyDescent="0.2">
      <c r="A4" s="2" t="s">
        <v>10</v>
      </c>
      <c r="B4">
        <v>0.60958823529411776</v>
      </c>
      <c r="C4">
        <v>7</v>
      </c>
      <c r="G4" s="5" t="s">
        <v>10</v>
      </c>
      <c r="H4" s="3">
        <v>2007</v>
      </c>
      <c r="I4" s="5" t="str">
        <f t="shared" si="0"/>
        <v>ala012007</v>
      </c>
      <c r="J4">
        <v>0.73660000000000003</v>
      </c>
      <c r="K4">
        <v>7</v>
      </c>
      <c r="L4">
        <f t="shared" si="1"/>
        <v>3.3321000000000005</v>
      </c>
      <c r="M4">
        <v>3.3321000000000005</v>
      </c>
      <c r="P4" s="2" t="s">
        <v>20</v>
      </c>
      <c r="Q4">
        <v>2013</v>
      </c>
      <c r="R4">
        <v>2005</v>
      </c>
      <c r="S4">
        <f t="shared" si="2"/>
        <v>8</v>
      </c>
    </row>
    <row r="5" spans="1:19" x14ac:dyDescent="0.2">
      <c r="A5" s="3">
        <v>2005</v>
      </c>
      <c r="B5">
        <v>0.61550000000000005</v>
      </c>
      <c r="C5">
        <v>7</v>
      </c>
      <c r="G5" s="5" t="s">
        <v>10</v>
      </c>
      <c r="H5" s="3">
        <v>2008</v>
      </c>
      <c r="I5" s="5" t="str">
        <f t="shared" si="0"/>
        <v>ala012008</v>
      </c>
      <c r="J5">
        <v>0.61044999999999994</v>
      </c>
      <c r="K5">
        <v>7</v>
      </c>
      <c r="L5">
        <f t="shared" si="1"/>
        <v>3.9425500000000002</v>
      </c>
      <c r="M5">
        <v>3.9425500000000002</v>
      </c>
      <c r="P5" s="2" t="s">
        <v>23</v>
      </c>
      <c r="Q5">
        <v>2013</v>
      </c>
      <c r="R5">
        <v>2002</v>
      </c>
      <c r="S5">
        <f t="shared" si="2"/>
        <v>11</v>
      </c>
    </row>
    <row r="6" spans="1:19" x14ac:dyDescent="0.2">
      <c r="A6" s="3">
        <v>2006</v>
      </c>
      <c r="B6">
        <v>0.46925000000000006</v>
      </c>
      <c r="C6">
        <v>7</v>
      </c>
      <c r="G6" s="5" t="s">
        <v>10</v>
      </c>
      <c r="H6" s="3">
        <v>2009</v>
      </c>
      <c r="I6" s="5" t="str">
        <f t="shared" si="0"/>
        <v>ala012009</v>
      </c>
      <c r="J6">
        <v>0.50205</v>
      </c>
      <c r="K6">
        <v>7</v>
      </c>
      <c r="L6">
        <f t="shared" si="1"/>
        <v>4.4446000000000003</v>
      </c>
      <c r="M6">
        <v>4.4446000000000003</v>
      </c>
      <c r="P6" s="2" t="s">
        <v>26</v>
      </c>
      <c r="Q6">
        <v>2013</v>
      </c>
      <c r="R6">
        <v>2000</v>
      </c>
      <c r="S6">
        <f t="shared" si="2"/>
        <v>13</v>
      </c>
    </row>
    <row r="7" spans="1:19" x14ac:dyDescent="0.2">
      <c r="A7" s="3">
        <v>2007</v>
      </c>
      <c r="B7">
        <v>0.73660000000000003</v>
      </c>
      <c r="C7">
        <v>7</v>
      </c>
      <c r="G7" s="5" t="s">
        <v>10</v>
      </c>
      <c r="H7" s="3">
        <v>2010</v>
      </c>
      <c r="I7" s="5" t="str">
        <f t="shared" si="0"/>
        <v>ala012010</v>
      </c>
      <c r="J7">
        <v>0.56505000000000005</v>
      </c>
      <c r="K7">
        <v>7</v>
      </c>
      <c r="L7">
        <f t="shared" si="1"/>
        <v>5.0096500000000006</v>
      </c>
      <c r="M7">
        <v>5.0096500000000006</v>
      </c>
      <c r="P7" s="2" t="s">
        <v>29</v>
      </c>
      <c r="Q7">
        <v>2013</v>
      </c>
      <c r="R7">
        <v>2010</v>
      </c>
      <c r="S7">
        <f t="shared" si="2"/>
        <v>3</v>
      </c>
    </row>
    <row r="8" spans="1:19" x14ac:dyDescent="0.2">
      <c r="A8" s="3">
        <v>2008</v>
      </c>
      <c r="B8">
        <v>0.61044999999999994</v>
      </c>
      <c r="C8">
        <v>7</v>
      </c>
      <c r="G8" s="5" t="s">
        <v>10</v>
      </c>
      <c r="H8" s="3">
        <v>2011</v>
      </c>
      <c r="I8" s="5" t="str">
        <f t="shared" si="0"/>
        <v>ala012011</v>
      </c>
      <c r="J8">
        <v>0.58015000000000005</v>
      </c>
      <c r="K8">
        <v>7</v>
      </c>
      <c r="L8">
        <f>L9-J9</f>
        <v>5.5898000000000003</v>
      </c>
      <c r="M8">
        <v>5.5898000000000003</v>
      </c>
      <c r="P8" s="2" t="s">
        <v>32</v>
      </c>
      <c r="Q8">
        <v>2013</v>
      </c>
      <c r="R8">
        <v>2008</v>
      </c>
      <c r="S8">
        <f t="shared" si="2"/>
        <v>5</v>
      </c>
    </row>
    <row r="9" spans="1:19" x14ac:dyDescent="0.2">
      <c r="A9" s="3">
        <v>2009</v>
      </c>
      <c r="B9">
        <v>0.50205</v>
      </c>
      <c r="C9">
        <v>7</v>
      </c>
      <c r="G9" s="5" t="s">
        <v>10</v>
      </c>
      <c r="H9" s="3">
        <v>2012</v>
      </c>
      <c r="I9" s="5" t="str">
        <f t="shared" si="0"/>
        <v>ala012012</v>
      </c>
      <c r="J9">
        <v>0.68115000000000003</v>
      </c>
      <c r="K9">
        <v>7</v>
      </c>
      <c r="L9">
        <f>K9-J10</f>
        <v>6.27095</v>
      </c>
      <c r="M9">
        <v>6.27095</v>
      </c>
      <c r="P9" s="2" t="s">
        <v>35</v>
      </c>
      <c r="Q9">
        <v>2013</v>
      </c>
      <c r="R9">
        <v>2004</v>
      </c>
      <c r="S9">
        <f t="shared" si="2"/>
        <v>9</v>
      </c>
    </row>
    <row r="10" spans="1:19" x14ac:dyDescent="0.2">
      <c r="A10" s="3">
        <v>2010</v>
      </c>
      <c r="B10">
        <v>0.56505000000000005</v>
      </c>
      <c r="C10">
        <v>7</v>
      </c>
      <c r="G10" s="5" t="s">
        <v>10</v>
      </c>
      <c r="H10" s="3">
        <v>2013</v>
      </c>
      <c r="I10" s="5" t="str">
        <f t="shared" si="0"/>
        <v>ala012013</v>
      </c>
      <c r="J10">
        <v>0.72904999999999998</v>
      </c>
      <c r="K10">
        <v>7</v>
      </c>
      <c r="M10">
        <v>7</v>
      </c>
      <c r="P10" s="2" t="s">
        <v>39</v>
      </c>
      <c r="Q10">
        <v>2013</v>
      </c>
      <c r="R10">
        <v>2004</v>
      </c>
      <c r="S10">
        <f t="shared" si="2"/>
        <v>9</v>
      </c>
    </row>
    <row r="11" spans="1:19" x14ac:dyDescent="0.2">
      <c r="A11" s="3">
        <v>2011</v>
      </c>
      <c r="B11">
        <v>0.58015000000000005</v>
      </c>
      <c r="C11">
        <v>7</v>
      </c>
      <c r="H11" s="5" t="s">
        <v>17</v>
      </c>
      <c r="I11" s="5" t="str">
        <f t="shared" si="0"/>
        <v>ala02</v>
      </c>
      <c r="J11" s="6">
        <v>1.1219375</v>
      </c>
      <c r="K11" s="6">
        <v>6</v>
      </c>
      <c r="M11">
        <v>6</v>
      </c>
      <c r="P11" s="2" t="s">
        <v>42</v>
      </c>
      <c r="Q11">
        <v>2013</v>
      </c>
      <c r="R11">
        <v>2005</v>
      </c>
      <c r="S11">
        <f t="shared" si="2"/>
        <v>8</v>
      </c>
    </row>
    <row r="12" spans="1:19" x14ac:dyDescent="0.2">
      <c r="A12" s="3">
        <v>2012</v>
      </c>
      <c r="B12">
        <v>0.68115000000000003</v>
      </c>
      <c r="C12">
        <v>7</v>
      </c>
      <c r="G12" s="5" t="s">
        <v>17</v>
      </c>
      <c r="H12" s="3">
        <v>2010</v>
      </c>
      <c r="I12" s="5" t="str">
        <f t="shared" si="0"/>
        <v>ala022010</v>
      </c>
      <c r="J12">
        <v>1.0443500000000001</v>
      </c>
      <c r="K12">
        <v>6</v>
      </c>
      <c r="L12">
        <f>L13-J13</f>
        <v>2.5566000000000004</v>
      </c>
      <c r="M12">
        <v>2.5566000000000004</v>
      </c>
      <c r="P12" s="2" t="s">
        <v>45</v>
      </c>
      <c r="Q12">
        <v>2013</v>
      </c>
      <c r="R12">
        <v>2003</v>
      </c>
      <c r="S12">
        <f t="shared" si="2"/>
        <v>10</v>
      </c>
    </row>
    <row r="13" spans="1:19" x14ac:dyDescent="0.2">
      <c r="A13" s="3">
        <v>2013</v>
      </c>
      <c r="B13">
        <v>0.72904999999999998</v>
      </c>
      <c r="C13">
        <v>7</v>
      </c>
      <c r="G13" s="5" t="s">
        <v>17</v>
      </c>
      <c r="H13" s="3">
        <v>2011</v>
      </c>
      <c r="I13" s="5" t="str">
        <f t="shared" si="0"/>
        <v>ala022011</v>
      </c>
      <c r="J13">
        <v>1.0822000000000001</v>
      </c>
      <c r="K13">
        <v>6</v>
      </c>
      <c r="L13">
        <f>L14-J14</f>
        <v>3.6388000000000003</v>
      </c>
      <c r="M13">
        <v>3.6388000000000003</v>
      </c>
      <c r="P13" s="2" t="s">
        <v>48</v>
      </c>
      <c r="Q13">
        <v>2013</v>
      </c>
      <c r="R13">
        <v>2004</v>
      </c>
      <c r="S13">
        <f t="shared" si="2"/>
        <v>9</v>
      </c>
    </row>
    <row r="14" spans="1:19" x14ac:dyDescent="0.2">
      <c r="A14" s="2" t="s">
        <v>17</v>
      </c>
      <c r="B14">
        <v>1.1219375</v>
      </c>
      <c r="C14">
        <v>6</v>
      </c>
      <c r="G14" s="5" t="s">
        <v>17</v>
      </c>
      <c r="H14" s="3">
        <v>2012</v>
      </c>
      <c r="I14" s="5" t="str">
        <f t="shared" si="0"/>
        <v>ala022012</v>
      </c>
      <c r="J14">
        <v>1.1427499999999999</v>
      </c>
      <c r="K14">
        <v>6</v>
      </c>
      <c r="L14">
        <f>K14-J15</f>
        <v>4.7815500000000002</v>
      </c>
      <c r="M14">
        <v>4.7815500000000002</v>
      </c>
      <c r="P14" s="2" t="s">
        <v>51</v>
      </c>
      <c r="Q14">
        <v>2013</v>
      </c>
      <c r="R14">
        <v>2002</v>
      </c>
      <c r="S14">
        <f t="shared" si="2"/>
        <v>11</v>
      </c>
    </row>
    <row r="15" spans="1:19" x14ac:dyDescent="0.2">
      <c r="A15" s="3">
        <v>2010</v>
      </c>
      <c r="B15">
        <v>1.0443500000000001</v>
      </c>
      <c r="C15">
        <v>6</v>
      </c>
      <c r="G15" s="5" t="s">
        <v>17</v>
      </c>
      <c r="H15" s="3">
        <v>2013</v>
      </c>
      <c r="I15" s="5" t="str">
        <f t="shared" si="0"/>
        <v>ala022013</v>
      </c>
      <c r="J15">
        <v>1.21845</v>
      </c>
      <c r="K15">
        <v>6</v>
      </c>
      <c r="M15">
        <v>6</v>
      </c>
      <c r="P15" s="2" t="s">
        <v>54</v>
      </c>
      <c r="Q15">
        <v>2013</v>
      </c>
      <c r="R15">
        <v>2000</v>
      </c>
      <c r="S15">
        <f t="shared" si="2"/>
        <v>13</v>
      </c>
    </row>
    <row r="16" spans="1:19" x14ac:dyDescent="0.2">
      <c r="A16" s="3">
        <v>2011</v>
      </c>
      <c r="B16">
        <v>1.0822000000000001</v>
      </c>
      <c r="C16">
        <v>6</v>
      </c>
      <c r="H16" s="5" t="s">
        <v>20</v>
      </c>
      <c r="I16" s="5" t="str">
        <f t="shared" si="0"/>
        <v>ala08</v>
      </c>
      <c r="J16" s="6">
        <v>0.63654444444444447</v>
      </c>
      <c r="K16" s="6">
        <v>8</v>
      </c>
      <c r="M16">
        <v>8</v>
      </c>
      <c r="P16" s="2" t="s">
        <v>58</v>
      </c>
      <c r="Q16">
        <v>2013</v>
      </c>
      <c r="R16">
        <v>2003</v>
      </c>
      <c r="S16">
        <f t="shared" si="2"/>
        <v>10</v>
      </c>
    </row>
    <row r="17" spans="1:19" x14ac:dyDescent="0.2">
      <c r="A17" s="3">
        <v>2012</v>
      </c>
      <c r="B17">
        <v>1.1427499999999999</v>
      </c>
      <c r="C17">
        <v>6</v>
      </c>
      <c r="G17" s="5" t="s">
        <v>20</v>
      </c>
      <c r="H17" s="3">
        <v>2005</v>
      </c>
      <c r="I17" s="5" t="str">
        <f t="shared" si="0"/>
        <v>ala082005</v>
      </c>
      <c r="J17">
        <v>0.78205000000000002</v>
      </c>
      <c r="K17">
        <v>8</v>
      </c>
      <c r="L17">
        <f t="shared" ref="L17:L22" si="3">L18-J18</f>
        <v>3.0531500000000005</v>
      </c>
      <c r="M17">
        <v>3.0531500000000005</v>
      </c>
      <c r="P17" s="2" t="s">
        <v>61</v>
      </c>
      <c r="Q17">
        <v>2013</v>
      </c>
      <c r="R17">
        <v>2005</v>
      </c>
      <c r="S17">
        <f t="shared" si="2"/>
        <v>8</v>
      </c>
    </row>
    <row r="18" spans="1:19" x14ac:dyDescent="0.2">
      <c r="A18" s="3">
        <v>2013</v>
      </c>
      <c r="B18">
        <v>1.21845</v>
      </c>
      <c r="C18">
        <v>6</v>
      </c>
      <c r="G18" s="5" t="s">
        <v>20</v>
      </c>
      <c r="H18" s="3">
        <v>2006</v>
      </c>
      <c r="I18" s="5" t="str">
        <f t="shared" si="0"/>
        <v>ala082006</v>
      </c>
      <c r="J18">
        <v>0.56254999999999999</v>
      </c>
      <c r="K18">
        <v>8</v>
      </c>
      <c r="L18">
        <f t="shared" si="3"/>
        <v>3.6157000000000004</v>
      </c>
      <c r="M18">
        <v>3.6157000000000004</v>
      </c>
      <c r="P18" s="2" t="s">
        <v>64</v>
      </c>
      <c r="Q18">
        <v>2013</v>
      </c>
      <c r="R18">
        <v>2000</v>
      </c>
      <c r="S18">
        <f t="shared" si="2"/>
        <v>13</v>
      </c>
    </row>
    <row r="19" spans="1:19" x14ac:dyDescent="0.2">
      <c r="A19" s="2" t="s">
        <v>20</v>
      </c>
      <c r="B19">
        <v>0.63654444444444447</v>
      </c>
      <c r="C19">
        <v>8</v>
      </c>
      <c r="G19" s="5" t="s">
        <v>20</v>
      </c>
      <c r="H19" s="3">
        <v>2007</v>
      </c>
      <c r="I19" s="5" t="str">
        <f t="shared" si="0"/>
        <v>ala082007</v>
      </c>
      <c r="J19">
        <v>0.83499999999999996</v>
      </c>
      <c r="K19">
        <v>8</v>
      </c>
      <c r="L19">
        <f t="shared" si="3"/>
        <v>4.4507000000000003</v>
      </c>
      <c r="M19">
        <v>4.4507000000000003</v>
      </c>
      <c r="P19" s="2" t="s">
        <v>67</v>
      </c>
      <c r="Q19">
        <v>2013</v>
      </c>
      <c r="R19">
        <v>2004</v>
      </c>
      <c r="S19">
        <f t="shared" si="2"/>
        <v>9</v>
      </c>
    </row>
    <row r="20" spans="1:19" x14ac:dyDescent="0.2">
      <c r="A20" s="3">
        <v>2005</v>
      </c>
      <c r="B20">
        <v>0.78205000000000002</v>
      </c>
      <c r="C20">
        <v>8</v>
      </c>
      <c r="G20" s="5" t="s">
        <v>20</v>
      </c>
      <c r="H20" s="3">
        <v>2008</v>
      </c>
      <c r="I20" s="5" t="str">
        <f t="shared" si="0"/>
        <v>ala082008</v>
      </c>
      <c r="J20">
        <v>0.47675000000000001</v>
      </c>
      <c r="K20">
        <v>8</v>
      </c>
      <c r="L20">
        <f t="shared" si="3"/>
        <v>4.9274500000000003</v>
      </c>
      <c r="M20">
        <v>4.9274500000000003</v>
      </c>
      <c r="P20" s="2" t="s">
        <v>70</v>
      </c>
      <c r="Q20">
        <v>2013</v>
      </c>
      <c r="R20">
        <v>2004</v>
      </c>
      <c r="S20">
        <f t="shared" si="2"/>
        <v>9</v>
      </c>
    </row>
    <row r="21" spans="1:19" x14ac:dyDescent="0.2">
      <c r="A21" s="3">
        <v>2006</v>
      </c>
      <c r="B21">
        <v>0.56254999999999999</v>
      </c>
      <c r="C21">
        <v>8</v>
      </c>
      <c r="G21" s="5" t="s">
        <v>20</v>
      </c>
      <c r="H21" s="3">
        <v>2009</v>
      </c>
      <c r="I21" s="5" t="str">
        <f t="shared" si="0"/>
        <v>ala082009</v>
      </c>
      <c r="J21">
        <v>0.81984999999999997</v>
      </c>
      <c r="K21">
        <v>8</v>
      </c>
      <c r="L21">
        <f t="shared" si="3"/>
        <v>5.7473000000000001</v>
      </c>
      <c r="M21">
        <v>5.7473000000000001</v>
      </c>
      <c r="P21" s="2" t="s">
        <v>73</v>
      </c>
      <c r="Q21">
        <v>2013</v>
      </c>
      <c r="R21">
        <v>2008</v>
      </c>
      <c r="S21">
        <f t="shared" si="2"/>
        <v>5</v>
      </c>
    </row>
    <row r="22" spans="1:19" x14ac:dyDescent="0.2">
      <c r="A22" s="3">
        <v>2007</v>
      </c>
      <c r="B22">
        <v>0.83499999999999996</v>
      </c>
      <c r="C22">
        <v>8</v>
      </c>
      <c r="G22" s="5" t="s">
        <v>20</v>
      </c>
      <c r="H22" s="3">
        <v>2010</v>
      </c>
      <c r="I22" s="5" t="str">
        <f t="shared" si="0"/>
        <v>ala082010</v>
      </c>
      <c r="J22">
        <v>0.6483000000000001</v>
      </c>
      <c r="K22">
        <v>8</v>
      </c>
      <c r="L22">
        <f t="shared" si="3"/>
        <v>6.3956</v>
      </c>
      <c r="M22">
        <v>6.3956</v>
      </c>
      <c r="P22" s="2" t="s">
        <v>76</v>
      </c>
      <c r="Q22">
        <v>2013</v>
      </c>
      <c r="R22">
        <v>2008</v>
      </c>
      <c r="S22">
        <f t="shared" si="2"/>
        <v>5</v>
      </c>
    </row>
    <row r="23" spans="1:19" x14ac:dyDescent="0.2">
      <c r="A23" s="3">
        <v>2008</v>
      </c>
      <c r="B23">
        <v>0.47675000000000001</v>
      </c>
      <c r="C23">
        <v>8</v>
      </c>
      <c r="G23" s="5" t="s">
        <v>20</v>
      </c>
      <c r="H23" s="3">
        <v>2011</v>
      </c>
      <c r="I23" s="5" t="str">
        <f t="shared" si="0"/>
        <v>ala082011</v>
      </c>
      <c r="J23">
        <v>0.47425000000000006</v>
      </c>
      <c r="K23">
        <v>8</v>
      </c>
      <c r="L23">
        <f>L24-J24</f>
        <v>6.8698500000000005</v>
      </c>
      <c r="M23">
        <v>6.8698500000000005</v>
      </c>
      <c r="P23" s="2" t="s">
        <v>79</v>
      </c>
      <c r="Q23">
        <v>2013</v>
      </c>
      <c r="R23">
        <v>2000</v>
      </c>
      <c r="S23">
        <f t="shared" si="2"/>
        <v>13</v>
      </c>
    </row>
    <row r="24" spans="1:19" x14ac:dyDescent="0.2">
      <c r="A24" s="3">
        <v>2009</v>
      </c>
      <c r="B24">
        <v>0.81984999999999997</v>
      </c>
      <c r="C24">
        <v>8</v>
      </c>
      <c r="G24" s="5" t="s">
        <v>20</v>
      </c>
      <c r="H24" s="3">
        <v>2012</v>
      </c>
      <c r="I24" s="5" t="str">
        <f t="shared" si="0"/>
        <v>ala082012</v>
      </c>
      <c r="J24">
        <v>0.46165</v>
      </c>
      <c r="K24">
        <v>8</v>
      </c>
      <c r="L24">
        <f>K24-J25</f>
        <v>7.3315000000000001</v>
      </c>
      <c r="M24">
        <v>7.3315000000000001</v>
      </c>
      <c r="P24" s="2" t="s">
        <v>83</v>
      </c>
      <c r="Q24">
        <v>2013</v>
      </c>
      <c r="R24">
        <v>2006</v>
      </c>
      <c r="S24">
        <f t="shared" si="2"/>
        <v>7</v>
      </c>
    </row>
    <row r="25" spans="1:19" x14ac:dyDescent="0.2">
      <c r="A25" s="3">
        <v>2010</v>
      </c>
      <c r="B25">
        <v>0.6483000000000001</v>
      </c>
      <c r="C25">
        <v>8</v>
      </c>
      <c r="G25" s="5" t="s">
        <v>20</v>
      </c>
      <c r="H25" s="3">
        <v>2013</v>
      </c>
      <c r="I25" s="5" t="str">
        <f t="shared" si="0"/>
        <v>ala082013</v>
      </c>
      <c r="J25">
        <v>0.66850000000000009</v>
      </c>
      <c r="K25">
        <v>8</v>
      </c>
      <c r="M25">
        <v>8</v>
      </c>
      <c r="P25" s="2" t="s">
        <v>86</v>
      </c>
      <c r="Q25">
        <v>2013</v>
      </c>
      <c r="R25">
        <v>2006</v>
      </c>
      <c r="S25">
        <f t="shared" si="2"/>
        <v>7</v>
      </c>
    </row>
    <row r="26" spans="1:19" x14ac:dyDescent="0.2">
      <c r="A26" s="3">
        <v>2011</v>
      </c>
      <c r="B26">
        <v>0.47425000000000006</v>
      </c>
      <c r="C26">
        <v>8</v>
      </c>
      <c r="H26" s="5" t="s">
        <v>23</v>
      </c>
      <c r="I26" s="5" t="str">
        <f t="shared" si="0"/>
        <v>ala10</v>
      </c>
      <c r="J26" s="6">
        <v>0.5718695652173913</v>
      </c>
      <c r="K26" s="6">
        <v>8.5</v>
      </c>
      <c r="M26">
        <v>8.5</v>
      </c>
      <c r="P26" s="2" t="s">
        <v>89</v>
      </c>
      <c r="Q26">
        <v>2013</v>
      </c>
      <c r="R26">
        <v>2001</v>
      </c>
      <c r="S26">
        <f t="shared" si="2"/>
        <v>12</v>
      </c>
    </row>
    <row r="27" spans="1:19" x14ac:dyDescent="0.2">
      <c r="A27" s="3">
        <v>2012</v>
      </c>
      <c r="B27">
        <v>0.46165</v>
      </c>
      <c r="C27">
        <v>8</v>
      </c>
      <c r="G27" s="5" t="s">
        <v>23</v>
      </c>
      <c r="H27" s="3">
        <v>2002</v>
      </c>
      <c r="I27" s="5" t="str">
        <f t="shared" si="0"/>
        <v>ala102002</v>
      </c>
      <c r="J27">
        <v>0.72650000000000003</v>
      </c>
      <c r="K27">
        <v>8.5</v>
      </c>
      <c r="L27">
        <f t="shared" ref="L27:L35" si="4">L28-J28</f>
        <v>2.2867499999999996</v>
      </c>
      <c r="M27">
        <v>2.2867499999999996</v>
      </c>
      <c r="P27" s="2" t="s">
        <v>92</v>
      </c>
      <c r="Q27">
        <v>2013</v>
      </c>
      <c r="R27">
        <v>2000</v>
      </c>
      <c r="S27">
        <f t="shared" si="2"/>
        <v>13</v>
      </c>
    </row>
    <row r="28" spans="1:19" x14ac:dyDescent="0.2">
      <c r="A28" s="3">
        <v>2013</v>
      </c>
      <c r="B28">
        <v>0.66850000000000009</v>
      </c>
      <c r="C28">
        <v>8</v>
      </c>
      <c r="G28" s="5" t="s">
        <v>23</v>
      </c>
      <c r="H28" s="3">
        <v>2003</v>
      </c>
      <c r="I28" s="5" t="str">
        <f t="shared" si="0"/>
        <v>ala102003</v>
      </c>
      <c r="J28">
        <v>0.58274999999999999</v>
      </c>
      <c r="K28">
        <v>8.5</v>
      </c>
      <c r="L28">
        <f t="shared" si="4"/>
        <v>2.8694999999999995</v>
      </c>
      <c r="M28">
        <v>2.8694999999999995</v>
      </c>
      <c r="P28" s="2" t="s">
        <v>95</v>
      </c>
      <c r="Q28">
        <v>2013</v>
      </c>
      <c r="R28">
        <v>2002</v>
      </c>
      <c r="S28">
        <f t="shared" si="2"/>
        <v>11</v>
      </c>
    </row>
    <row r="29" spans="1:19" x14ac:dyDescent="0.2">
      <c r="A29" s="2" t="s">
        <v>23</v>
      </c>
      <c r="B29">
        <v>0.5718695652173913</v>
      </c>
      <c r="C29">
        <v>8.5</v>
      </c>
      <c r="G29" s="5" t="s">
        <v>23</v>
      </c>
      <c r="H29" s="3">
        <v>2004</v>
      </c>
      <c r="I29" s="5" t="str">
        <f t="shared" si="0"/>
        <v>ala102004</v>
      </c>
      <c r="J29">
        <v>0.80974999999999997</v>
      </c>
      <c r="K29">
        <v>8.5</v>
      </c>
      <c r="L29">
        <f t="shared" si="4"/>
        <v>3.6792499999999992</v>
      </c>
      <c r="M29">
        <v>3.6792499999999992</v>
      </c>
      <c r="P29" s="2" t="s">
        <v>98</v>
      </c>
      <c r="Q29">
        <v>2013</v>
      </c>
      <c r="R29">
        <v>2004</v>
      </c>
      <c r="S29">
        <f t="shared" si="2"/>
        <v>9</v>
      </c>
    </row>
    <row r="30" spans="1:19" x14ac:dyDescent="0.2">
      <c r="A30" s="3">
        <v>2002</v>
      </c>
      <c r="B30">
        <v>0.72650000000000003</v>
      </c>
      <c r="C30">
        <v>8.5</v>
      </c>
      <c r="G30" s="5" t="s">
        <v>23</v>
      </c>
      <c r="H30" s="3">
        <v>2005</v>
      </c>
      <c r="I30" s="5" t="str">
        <f t="shared" si="0"/>
        <v>ala102005</v>
      </c>
      <c r="J30">
        <v>0.53485000000000005</v>
      </c>
      <c r="K30">
        <v>8.5</v>
      </c>
      <c r="L30">
        <f t="shared" si="4"/>
        <v>4.2140999999999993</v>
      </c>
      <c r="M30">
        <v>4.2140999999999993</v>
      </c>
      <c r="P30" s="2" t="s">
        <v>101</v>
      </c>
      <c r="Q30">
        <v>2013</v>
      </c>
      <c r="R30">
        <v>2003</v>
      </c>
      <c r="S30">
        <f t="shared" si="2"/>
        <v>10</v>
      </c>
    </row>
    <row r="31" spans="1:19" x14ac:dyDescent="0.2">
      <c r="A31" s="3">
        <v>2003</v>
      </c>
      <c r="B31">
        <v>0.58274999999999999</v>
      </c>
      <c r="C31">
        <v>8.5</v>
      </c>
      <c r="G31" s="5" t="s">
        <v>23</v>
      </c>
      <c r="H31" s="3">
        <v>2006</v>
      </c>
      <c r="I31" s="5" t="str">
        <f t="shared" si="0"/>
        <v>ala102006</v>
      </c>
      <c r="J31">
        <v>0.5625</v>
      </c>
      <c r="K31">
        <v>8.5</v>
      </c>
      <c r="L31">
        <f t="shared" si="4"/>
        <v>4.7765999999999993</v>
      </c>
      <c r="M31">
        <v>4.7765999999999993</v>
      </c>
      <c r="P31" s="2" t="s">
        <v>104</v>
      </c>
      <c r="Q31">
        <v>2013</v>
      </c>
      <c r="R31">
        <v>2003</v>
      </c>
      <c r="S31">
        <f t="shared" si="2"/>
        <v>10</v>
      </c>
    </row>
    <row r="32" spans="1:19" x14ac:dyDescent="0.2">
      <c r="A32" s="3">
        <v>2004</v>
      </c>
      <c r="B32">
        <v>0.80974999999999997</v>
      </c>
      <c r="C32">
        <v>8.5</v>
      </c>
      <c r="G32" s="5" t="s">
        <v>23</v>
      </c>
      <c r="H32" s="3">
        <v>2007</v>
      </c>
      <c r="I32" s="5" t="str">
        <f t="shared" si="0"/>
        <v>ala102007</v>
      </c>
      <c r="J32">
        <v>0.51970000000000005</v>
      </c>
      <c r="K32">
        <v>8.5</v>
      </c>
      <c r="L32">
        <f t="shared" si="4"/>
        <v>5.2962999999999996</v>
      </c>
      <c r="M32">
        <v>5.2962999999999996</v>
      </c>
      <c r="P32" s="2" t="s">
        <v>107</v>
      </c>
      <c r="Q32">
        <v>2013</v>
      </c>
      <c r="R32">
        <v>2003</v>
      </c>
      <c r="S32">
        <f t="shared" si="2"/>
        <v>10</v>
      </c>
    </row>
    <row r="33" spans="1:19" x14ac:dyDescent="0.2">
      <c r="A33" s="3">
        <v>2005</v>
      </c>
      <c r="B33">
        <v>0.53485000000000005</v>
      </c>
      <c r="C33">
        <v>8.5</v>
      </c>
      <c r="G33" s="5" t="s">
        <v>23</v>
      </c>
      <c r="H33" s="3">
        <v>2008</v>
      </c>
      <c r="I33" s="5" t="str">
        <f t="shared" si="0"/>
        <v>ala102008</v>
      </c>
      <c r="J33">
        <v>0.42375000000000002</v>
      </c>
      <c r="K33">
        <v>8.5</v>
      </c>
      <c r="L33">
        <f t="shared" si="4"/>
        <v>5.7200499999999996</v>
      </c>
      <c r="M33">
        <v>5.7200499999999996</v>
      </c>
      <c r="P33" s="2" t="s">
        <v>111</v>
      </c>
      <c r="Q33">
        <v>2013</v>
      </c>
      <c r="R33">
        <v>2002</v>
      </c>
      <c r="S33">
        <f t="shared" si="2"/>
        <v>11</v>
      </c>
    </row>
    <row r="34" spans="1:19" x14ac:dyDescent="0.2">
      <c r="A34" s="3">
        <v>2006</v>
      </c>
      <c r="B34">
        <v>0.5625</v>
      </c>
      <c r="C34">
        <v>8.5</v>
      </c>
      <c r="G34" s="5" t="s">
        <v>23</v>
      </c>
      <c r="H34" s="3">
        <v>2009</v>
      </c>
      <c r="I34" s="5" t="str">
        <f t="shared" si="0"/>
        <v>ala102009</v>
      </c>
      <c r="J34">
        <v>0.56505000000000005</v>
      </c>
      <c r="K34">
        <v>8.5</v>
      </c>
      <c r="L34">
        <f t="shared" si="4"/>
        <v>6.2850999999999999</v>
      </c>
      <c r="M34">
        <v>6.2850999999999999</v>
      </c>
      <c r="P34" s="2" t="s">
        <v>114</v>
      </c>
      <c r="Q34">
        <v>2013</v>
      </c>
      <c r="R34">
        <v>2001</v>
      </c>
      <c r="S34">
        <f t="shared" si="2"/>
        <v>12</v>
      </c>
    </row>
    <row r="35" spans="1:19" x14ac:dyDescent="0.2">
      <c r="A35" s="3">
        <v>2007</v>
      </c>
      <c r="B35">
        <v>0.51970000000000005</v>
      </c>
      <c r="C35">
        <v>8.5</v>
      </c>
      <c r="G35" s="5" t="s">
        <v>23</v>
      </c>
      <c r="H35" s="3">
        <v>2010</v>
      </c>
      <c r="I35" s="5" t="str">
        <f t="shared" si="0"/>
        <v>ala102010</v>
      </c>
      <c r="J35">
        <v>0.66349999999999998</v>
      </c>
      <c r="K35">
        <v>8.5</v>
      </c>
      <c r="L35">
        <f t="shared" si="4"/>
        <v>6.9485999999999999</v>
      </c>
      <c r="M35">
        <v>6.9485999999999999</v>
      </c>
      <c r="P35" s="2" t="s">
        <v>117</v>
      </c>
      <c r="Q35">
        <v>2013</v>
      </c>
      <c r="R35">
        <v>2000</v>
      </c>
      <c r="S35">
        <f t="shared" si="2"/>
        <v>13</v>
      </c>
    </row>
    <row r="36" spans="1:19" x14ac:dyDescent="0.2">
      <c r="A36" s="3">
        <v>2008</v>
      </c>
      <c r="B36">
        <v>0.42375000000000002</v>
      </c>
      <c r="C36">
        <v>8.5</v>
      </c>
      <c r="G36" s="5" t="s">
        <v>23</v>
      </c>
      <c r="H36" s="3">
        <v>2011</v>
      </c>
      <c r="I36" s="5" t="str">
        <f t="shared" si="0"/>
        <v>ala102011</v>
      </c>
      <c r="J36">
        <v>0.47175</v>
      </c>
      <c r="K36">
        <v>8.5</v>
      </c>
      <c r="L36">
        <f>L37-J37</f>
        <v>7.42035</v>
      </c>
      <c r="M36">
        <v>7.42035</v>
      </c>
      <c r="P36" s="2" t="s">
        <v>120</v>
      </c>
      <c r="Q36">
        <v>2013</v>
      </c>
      <c r="R36">
        <v>2002</v>
      </c>
      <c r="S36">
        <f t="shared" si="2"/>
        <v>11</v>
      </c>
    </row>
    <row r="37" spans="1:19" x14ac:dyDescent="0.2">
      <c r="A37" s="3">
        <v>2009</v>
      </c>
      <c r="B37">
        <v>0.56505000000000005</v>
      </c>
      <c r="C37">
        <v>8.5</v>
      </c>
      <c r="G37" s="5" t="s">
        <v>23</v>
      </c>
      <c r="H37" s="3">
        <v>2012</v>
      </c>
      <c r="I37" s="5" t="str">
        <f t="shared" si="0"/>
        <v>ala102012</v>
      </c>
      <c r="J37">
        <v>0.60540000000000005</v>
      </c>
      <c r="K37">
        <v>8.5</v>
      </c>
      <c r="L37">
        <f>K37-J38</f>
        <v>8.0257500000000004</v>
      </c>
      <c r="M37">
        <v>8.0257500000000004</v>
      </c>
      <c r="P37" s="2" t="s">
        <v>123</v>
      </c>
      <c r="Q37">
        <v>2013</v>
      </c>
      <c r="R37">
        <v>2010</v>
      </c>
      <c r="S37">
        <f t="shared" si="2"/>
        <v>3</v>
      </c>
    </row>
    <row r="38" spans="1:19" x14ac:dyDescent="0.2">
      <c r="A38" s="3">
        <v>2010</v>
      </c>
      <c r="B38">
        <v>0.66349999999999998</v>
      </c>
      <c r="C38">
        <v>8.5</v>
      </c>
      <c r="G38" s="5" t="s">
        <v>23</v>
      </c>
      <c r="H38" s="3">
        <v>2013</v>
      </c>
      <c r="I38" s="5" t="str">
        <f t="shared" si="0"/>
        <v>ala102013</v>
      </c>
      <c r="J38">
        <v>0.47425000000000006</v>
      </c>
      <c r="K38">
        <v>8.5</v>
      </c>
      <c r="M38">
        <v>8.5</v>
      </c>
      <c r="P38" s="2" t="s">
        <v>126</v>
      </c>
      <c r="Q38">
        <v>2013</v>
      </c>
      <c r="R38">
        <v>2000</v>
      </c>
      <c r="S38">
        <f t="shared" si="2"/>
        <v>13</v>
      </c>
    </row>
    <row r="39" spans="1:19" x14ac:dyDescent="0.2">
      <c r="A39" s="3">
        <v>2011</v>
      </c>
      <c r="B39">
        <v>0.47175</v>
      </c>
      <c r="C39">
        <v>8.5</v>
      </c>
      <c r="H39" s="5" t="s">
        <v>26</v>
      </c>
      <c r="I39" s="5" t="str">
        <f t="shared" si="0"/>
        <v>ala12</v>
      </c>
      <c r="J39" s="6">
        <v>0.65516071428571432</v>
      </c>
      <c r="K39" s="6">
        <v>13.5</v>
      </c>
      <c r="M39">
        <v>13.5</v>
      </c>
      <c r="P39" s="2" t="s">
        <v>129</v>
      </c>
      <c r="Q39">
        <v>2013</v>
      </c>
      <c r="R39">
        <v>2004</v>
      </c>
      <c r="S39">
        <f t="shared" si="2"/>
        <v>9</v>
      </c>
    </row>
    <row r="40" spans="1:19" x14ac:dyDescent="0.2">
      <c r="A40" s="3">
        <v>2012</v>
      </c>
      <c r="B40">
        <v>0.60540000000000005</v>
      </c>
      <c r="C40">
        <v>8.5</v>
      </c>
      <c r="G40" s="5" t="s">
        <v>26</v>
      </c>
      <c r="H40" s="3">
        <v>2000</v>
      </c>
      <c r="I40" s="5" t="str">
        <f t="shared" si="0"/>
        <v>ala122000</v>
      </c>
      <c r="J40">
        <v>0.61299999999999999</v>
      </c>
      <c r="K40">
        <v>13.5</v>
      </c>
      <c r="L40">
        <f t="shared" ref="L40:L50" si="5">L41-J41</f>
        <v>4.9407499999999986</v>
      </c>
      <c r="M40">
        <v>4.9407499999999986</v>
      </c>
    </row>
    <row r="41" spans="1:19" x14ac:dyDescent="0.2">
      <c r="A41" s="3">
        <v>2013</v>
      </c>
      <c r="B41">
        <v>0.47425000000000006</v>
      </c>
      <c r="C41">
        <v>8.5</v>
      </c>
      <c r="G41" s="5" t="s">
        <v>26</v>
      </c>
      <c r="H41" s="3">
        <v>2001</v>
      </c>
      <c r="I41" s="5" t="str">
        <f t="shared" si="0"/>
        <v>ala122001</v>
      </c>
      <c r="J41">
        <v>0.72650000000000003</v>
      </c>
      <c r="K41">
        <v>13.5</v>
      </c>
      <c r="L41">
        <f t="shared" si="5"/>
        <v>5.6672499999999983</v>
      </c>
      <c r="M41">
        <v>5.6672499999999983</v>
      </c>
    </row>
    <row r="42" spans="1:19" x14ac:dyDescent="0.2">
      <c r="A42" s="2" t="s">
        <v>26</v>
      </c>
      <c r="B42">
        <v>0.65516071428571432</v>
      </c>
      <c r="C42">
        <v>13.5</v>
      </c>
      <c r="G42" s="5" t="s">
        <v>26</v>
      </c>
      <c r="H42" s="3">
        <v>2002</v>
      </c>
      <c r="I42" s="5" t="str">
        <f t="shared" si="0"/>
        <v>ala122002</v>
      </c>
      <c r="J42">
        <v>0.65590000000000004</v>
      </c>
      <c r="K42">
        <v>13.5</v>
      </c>
      <c r="L42">
        <f t="shared" si="5"/>
        <v>6.3231499999999983</v>
      </c>
      <c r="M42">
        <v>6.3231499999999983</v>
      </c>
    </row>
    <row r="43" spans="1:19" x14ac:dyDescent="0.2">
      <c r="A43" s="3">
        <v>2000</v>
      </c>
      <c r="B43">
        <v>0.61299999999999999</v>
      </c>
      <c r="C43">
        <v>13.5</v>
      </c>
      <c r="G43" s="5" t="s">
        <v>26</v>
      </c>
      <c r="H43" s="3">
        <v>2003</v>
      </c>
      <c r="I43" s="5" t="str">
        <f t="shared" si="0"/>
        <v>ala122003</v>
      </c>
      <c r="J43">
        <v>1.1553499999999999</v>
      </c>
      <c r="K43">
        <v>13.5</v>
      </c>
      <c r="L43">
        <f t="shared" si="5"/>
        <v>7.4784999999999986</v>
      </c>
      <c r="M43">
        <v>7.4784999999999986</v>
      </c>
    </row>
    <row r="44" spans="1:19" x14ac:dyDescent="0.2">
      <c r="A44" s="3">
        <v>2001</v>
      </c>
      <c r="B44">
        <v>0.72650000000000003</v>
      </c>
      <c r="C44">
        <v>13.5</v>
      </c>
      <c r="G44" s="5" t="s">
        <v>26</v>
      </c>
      <c r="H44" s="3">
        <v>2004</v>
      </c>
      <c r="I44" s="5" t="str">
        <f t="shared" si="0"/>
        <v>ala122004</v>
      </c>
      <c r="J44">
        <v>0.90310000000000001</v>
      </c>
      <c r="K44">
        <v>13.5</v>
      </c>
      <c r="L44">
        <f t="shared" si="5"/>
        <v>8.3815999999999988</v>
      </c>
      <c r="M44">
        <v>8.3815999999999988</v>
      </c>
    </row>
    <row r="45" spans="1:19" x14ac:dyDescent="0.2">
      <c r="A45" s="3">
        <v>2002</v>
      </c>
      <c r="B45">
        <v>0.65590000000000004</v>
      </c>
      <c r="C45">
        <v>13.5</v>
      </c>
      <c r="G45" s="5" t="s">
        <v>26</v>
      </c>
      <c r="H45" s="3">
        <v>2005</v>
      </c>
      <c r="I45" s="5" t="str">
        <f t="shared" si="0"/>
        <v>ala122005</v>
      </c>
      <c r="J45">
        <v>0.99390000000000001</v>
      </c>
      <c r="K45">
        <v>13.5</v>
      </c>
      <c r="L45">
        <f t="shared" si="5"/>
        <v>9.3754999999999988</v>
      </c>
      <c r="M45">
        <v>9.3754999999999988</v>
      </c>
    </row>
    <row r="46" spans="1:19" x14ac:dyDescent="0.2">
      <c r="A46" s="3">
        <v>2003</v>
      </c>
      <c r="B46">
        <v>1.1553499999999999</v>
      </c>
      <c r="C46">
        <v>13.5</v>
      </c>
      <c r="G46" s="5" t="s">
        <v>26</v>
      </c>
      <c r="H46" s="3">
        <v>2006</v>
      </c>
      <c r="I46" s="5" t="str">
        <f t="shared" si="0"/>
        <v>ala122006</v>
      </c>
      <c r="J46">
        <v>0.87535000000000007</v>
      </c>
      <c r="K46">
        <v>13.5</v>
      </c>
      <c r="L46">
        <f t="shared" si="5"/>
        <v>10.25085</v>
      </c>
      <c r="M46">
        <v>10.25085</v>
      </c>
    </row>
    <row r="47" spans="1:19" x14ac:dyDescent="0.2">
      <c r="A47" s="3">
        <v>2004</v>
      </c>
      <c r="B47">
        <v>0.90310000000000001</v>
      </c>
      <c r="C47">
        <v>13.5</v>
      </c>
      <c r="G47" s="5" t="s">
        <v>26</v>
      </c>
      <c r="H47" s="3">
        <v>2007</v>
      </c>
      <c r="I47" s="5" t="str">
        <f t="shared" si="0"/>
        <v>ala122007</v>
      </c>
      <c r="J47">
        <v>0.51965000000000006</v>
      </c>
      <c r="K47">
        <v>13.5</v>
      </c>
      <c r="L47">
        <f t="shared" si="5"/>
        <v>10.7705</v>
      </c>
      <c r="M47">
        <v>10.7705</v>
      </c>
    </row>
    <row r="48" spans="1:19" x14ac:dyDescent="0.2">
      <c r="A48" s="3">
        <v>2005</v>
      </c>
      <c r="B48">
        <v>0.99390000000000001</v>
      </c>
      <c r="C48">
        <v>13.5</v>
      </c>
      <c r="G48" s="5" t="s">
        <v>26</v>
      </c>
      <c r="H48" s="3">
        <v>2008</v>
      </c>
      <c r="I48" s="5" t="str">
        <f t="shared" si="0"/>
        <v>ala122008</v>
      </c>
      <c r="J48">
        <v>0.42635000000000001</v>
      </c>
      <c r="K48">
        <v>13.5</v>
      </c>
      <c r="L48">
        <f t="shared" si="5"/>
        <v>11.19685</v>
      </c>
      <c r="M48">
        <v>11.19685</v>
      </c>
    </row>
    <row r="49" spans="1:13" x14ac:dyDescent="0.2">
      <c r="A49" s="3">
        <v>2006</v>
      </c>
      <c r="B49">
        <v>0.87535000000000007</v>
      </c>
      <c r="C49">
        <v>13.5</v>
      </c>
      <c r="G49" s="5" t="s">
        <v>26</v>
      </c>
      <c r="H49" s="3">
        <v>2009</v>
      </c>
      <c r="I49" s="5" t="str">
        <f t="shared" si="0"/>
        <v>ala122009</v>
      </c>
      <c r="J49">
        <v>0.38600000000000001</v>
      </c>
      <c r="K49">
        <v>13.5</v>
      </c>
      <c r="L49">
        <f t="shared" si="5"/>
        <v>11.582849999999999</v>
      </c>
      <c r="M49">
        <v>11.582849999999999</v>
      </c>
    </row>
    <row r="50" spans="1:13" x14ac:dyDescent="0.2">
      <c r="A50" s="3">
        <v>2007</v>
      </c>
      <c r="B50">
        <v>0.51965000000000006</v>
      </c>
      <c r="C50">
        <v>13.5</v>
      </c>
      <c r="G50" s="5" t="s">
        <v>26</v>
      </c>
      <c r="H50" s="3">
        <v>2010</v>
      </c>
      <c r="I50" s="5" t="str">
        <f t="shared" si="0"/>
        <v>ala122010</v>
      </c>
      <c r="J50">
        <v>0.57765</v>
      </c>
      <c r="K50">
        <v>13.5</v>
      </c>
      <c r="L50">
        <f t="shared" si="5"/>
        <v>12.160499999999999</v>
      </c>
      <c r="M50">
        <v>12.160499999999999</v>
      </c>
    </row>
    <row r="51" spans="1:13" x14ac:dyDescent="0.2">
      <c r="A51" s="3">
        <v>2008</v>
      </c>
      <c r="B51">
        <v>0.42635000000000001</v>
      </c>
      <c r="C51">
        <v>13.5</v>
      </c>
      <c r="G51" s="5" t="s">
        <v>26</v>
      </c>
      <c r="H51" s="3">
        <v>2011</v>
      </c>
      <c r="I51" s="5" t="str">
        <f t="shared" si="0"/>
        <v>ala122011</v>
      </c>
      <c r="J51">
        <v>0.29005000000000003</v>
      </c>
      <c r="K51">
        <v>13.5</v>
      </c>
      <c r="L51">
        <f>L52-J52</f>
        <v>12.45055</v>
      </c>
      <c r="M51">
        <v>12.45055</v>
      </c>
    </row>
    <row r="52" spans="1:13" x14ac:dyDescent="0.2">
      <c r="A52" s="3">
        <v>2009</v>
      </c>
      <c r="B52">
        <v>0.38600000000000001</v>
      </c>
      <c r="C52">
        <v>13.5</v>
      </c>
      <c r="G52" s="5" t="s">
        <v>26</v>
      </c>
      <c r="H52" s="3">
        <v>2012</v>
      </c>
      <c r="I52" s="5" t="str">
        <f t="shared" si="0"/>
        <v>ala122012</v>
      </c>
      <c r="J52">
        <v>0.44405000000000006</v>
      </c>
      <c r="K52">
        <v>13.5</v>
      </c>
      <c r="L52">
        <f>K52-J53</f>
        <v>12.894600000000001</v>
      </c>
      <c r="M52">
        <v>12.894600000000001</v>
      </c>
    </row>
    <row r="53" spans="1:13" x14ac:dyDescent="0.2">
      <c r="A53" s="3">
        <v>2010</v>
      </c>
      <c r="B53">
        <v>0.57765</v>
      </c>
      <c r="C53">
        <v>13.5</v>
      </c>
      <c r="G53" s="5" t="s">
        <v>26</v>
      </c>
      <c r="H53" s="3">
        <v>2013</v>
      </c>
      <c r="I53" s="5" t="str">
        <f t="shared" si="0"/>
        <v>ala122013</v>
      </c>
      <c r="J53">
        <v>0.60540000000000005</v>
      </c>
      <c r="K53">
        <v>13.5</v>
      </c>
      <c r="M53">
        <v>13.5</v>
      </c>
    </row>
    <row r="54" spans="1:13" x14ac:dyDescent="0.2">
      <c r="A54" s="3">
        <v>2011</v>
      </c>
      <c r="B54">
        <v>0.29005000000000003</v>
      </c>
      <c r="C54">
        <v>13.5</v>
      </c>
      <c r="H54" s="5" t="s">
        <v>29</v>
      </c>
      <c r="I54" s="5" t="str">
        <f t="shared" si="0"/>
        <v>ala14</v>
      </c>
      <c r="J54" s="6">
        <v>0.97183750000000002</v>
      </c>
      <c r="K54" s="6">
        <v>6</v>
      </c>
      <c r="M54">
        <v>6</v>
      </c>
    </row>
    <row r="55" spans="1:13" x14ac:dyDescent="0.2">
      <c r="A55" s="3">
        <v>2012</v>
      </c>
      <c r="B55">
        <v>0.44405000000000006</v>
      </c>
      <c r="C55">
        <v>13.5</v>
      </c>
      <c r="G55" s="5" t="s">
        <v>29</v>
      </c>
      <c r="H55" s="3">
        <v>2010</v>
      </c>
      <c r="I55" s="5" t="str">
        <f t="shared" si="0"/>
        <v>ala142010</v>
      </c>
      <c r="J55">
        <v>1.03935</v>
      </c>
      <c r="K55">
        <v>6</v>
      </c>
      <c r="L55">
        <f>L56-J56</f>
        <v>3.1520000000000001</v>
      </c>
      <c r="M55">
        <v>3.1520000000000001</v>
      </c>
    </row>
    <row r="56" spans="1:13" x14ac:dyDescent="0.2">
      <c r="A56" s="3">
        <v>2013</v>
      </c>
      <c r="B56">
        <v>0.60540000000000005</v>
      </c>
      <c r="C56">
        <v>13.5</v>
      </c>
      <c r="G56" s="5" t="s">
        <v>29</v>
      </c>
      <c r="H56" s="3">
        <v>2011</v>
      </c>
      <c r="I56" s="5" t="str">
        <f t="shared" si="0"/>
        <v>ala142011</v>
      </c>
      <c r="J56">
        <v>0.75425000000000009</v>
      </c>
      <c r="K56">
        <v>6</v>
      </c>
      <c r="L56">
        <f>L57-J57</f>
        <v>3.9062500000000004</v>
      </c>
      <c r="M56">
        <v>3.9062500000000004</v>
      </c>
    </row>
    <row r="57" spans="1:13" x14ac:dyDescent="0.2">
      <c r="A57" s="2" t="s">
        <v>29</v>
      </c>
      <c r="B57">
        <v>0.97183750000000002</v>
      </c>
      <c r="C57">
        <v>6</v>
      </c>
      <c r="G57" s="5" t="s">
        <v>29</v>
      </c>
      <c r="H57" s="3">
        <v>2012</v>
      </c>
      <c r="I57" s="5" t="str">
        <f t="shared" si="0"/>
        <v>ala142012</v>
      </c>
      <c r="J57">
        <v>0.95105000000000006</v>
      </c>
      <c r="K57">
        <v>6</v>
      </c>
      <c r="L57">
        <f>K57-J58</f>
        <v>4.8573000000000004</v>
      </c>
      <c r="M57">
        <v>4.8573000000000004</v>
      </c>
    </row>
    <row r="58" spans="1:13" x14ac:dyDescent="0.2">
      <c r="A58" s="3">
        <v>2010</v>
      </c>
      <c r="B58">
        <v>1.03935</v>
      </c>
      <c r="C58">
        <v>6</v>
      </c>
      <c r="G58" s="5" t="s">
        <v>29</v>
      </c>
      <c r="H58" s="3">
        <v>2013</v>
      </c>
      <c r="I58" s="5" t="str">
        <f t="shared" si="0"/>
        <v>ala142013</v>
      </c>
      <c r="J58">
        <v>1.1427</v>
      </c>
      <c r="K58">
        <v>6</v>
      </c>
      <c r="M58">
        <v>6</v>
      </c>
    </row>
    <row r="59" spans="1:13" x14ac:dyDescent="0.2">
      <c r="A59" s="3">
        <v>2011</v>
      </c>
      <c r="B59">
        <v>0.75425000000000009</v>
      </c>
      <c r="C59">
        <v>6</v>
      </c>
      <c r="H59" s="5" t="s">
        <v>32</v>
      </c>
      <c r="I59" s="5" t="str">
        <f t="shared" si="0"/>
        <v>ala21</v>
      </c>
      <c r="J59" s="6">
        <v>0.63403333333333334</v>
      </c>
      <c r="K59" s="6">
        <v>5</v>
      </c>
      <c r="M59">
        <v>5</v>
      </c>
    </row>
    <row r="60" spans="1:13" x14ac:dyDescent="0.2">
      <c r="A60" s="3">
        <v>2012</v>
      </c>
      <c r="B60">
        <v>0.95105000000000006</v>
      </c>
      <c r="C60">
        <v>6</v>
      </c>
      <c r="G60" s="5" t="s">
        <v>32</v>
      </c>
      <c r="H60" s="3">
        <v>2008</v>
      </c>
      <c r="I60" s="5" t="str">
        <f t="shared" si="0"/>
        <v>ala212008</v>
      </c>
      <c r="J60">
        <v>0.78305000000000002</v>
      </c>
      <c r="K60">
        <v>5</v>
      </c>
      <c r="L60">
        <f t="shared" ref="L60:L62" si="6">L61-J61</f>
        <v>1.9788499999999998</v>
      </c>
      <c r="M60">
        <v>1.9788499999999998</v>
      </c>
    </row>
    <row r="61" spans="1:13" x14ac:dyDescent="0.2">
      <c r="A61" s="3">
        <v>2013</v>
      </c>
      <c r="B61">
        <v>1.1427</v>
      </c>
      <c r="C61">
        <v>6</v>
      </c>
      <c r="G61" s="5" t="s">
        <v>32</v>
      </c>
      <c r="H61" s="3">
        <v>2009</v>
      </c>
      <c r="I61" s="5" t="str">
        <f t="shared" si="0"/>
        <v>ala212009</v>
      </c>
      <c r="J61">
        <v>0.47720000000000001</v>
      </c>
      <c r="K61">
        <v>5</v>
      </c>
      <c r="L61">
        <f t="shared" si="6"/>
        <v>2.4560499999999998</v>
      </c>
      <c r="M61">
        <v>2.4560499999999998</v>
      </c>
    </row>
    <row r="62" spans="1:13" x14ac:dyDescent="0.2">
      <c r="A62" s="2" t="s">
        <v>32</v>
      </c>
      <c r="B62">
        <v>0.63403333333333334</v>
      </c>
      <c r="C62">
        <v>5</v>
      </c>
      <c r="G62" s="5" t="s">
        <v>32</v>
      </c>
      <c r="H62" s="3">
        <v>2010</v>
      </c>
      <c r="I62" s="5" t="str">
        <f t="shared" si="0"/>
        <v>ala212010</v>
      </c>
      <c r="J62">
        <v>0.6804</v>
      </c>
      <c r="K62">
        <v>5</v>
      </c>
      <c r="L62">
        <f t="shared" si="6"/>
        <v>3.13645</v>
      </c>
      <c r="M62">
        <v>3.13645</v>
      </c>
    </row>
    <row r="63" spans="1:13" x14ac:dyDescent="0.2">
      <c r="A63" s="3">
        <v>2008</v>
      </c>
      <c r="B63">
        <v>0.78305000000000002</v>
      </c>
      <c r="C63">
        <v>5</v>
      </c>
      <c r="G63" s="5" t="s">
        <v>32</v>
      </c>
      <c r="H63" s="3">
        <v>2011</v>
      </c>
      <c r="I63" s="5" t="str">
        <f t="shared" si="0"/>
        <v>ala212011</v>
      </c>
      <c r="J63">
        <v>0.63545000000000007</v>
      </c>
      <c r="K63">
        <v>5</v>
      </c>
      <c r="L63">
        <f>L64-J64</f>
        <v>3.7719</v>
      </c>
      <c r="M63">
        <v>3.7719</v>
      </c>
    </row>
    <row r="64" spans="1:13" x14ac:dyDescent="0.2">
      <c r="A64" s="3">
        <v>2009</v>
      </c>
      <c r="B64">
        <v>0.47720000000000001</v>
      </c>
      <c r="C64">
        <v>5</v>
      </c>
      <c r="G64" s="5" t="s">
        <v>32</v>
      </c>
      <c r="H64" s="3">
        <v>2012</v>
      </c>
      <c r="I64" s="5" t="str">
        <f t="shared" si="0"/>
        <v>ala212012</v>
      </c>
      <c r="J64">
        <v>0.5776</v>
      </c>
      <c r="K64">
        <v>5</v>
      </c>
      <c r="L64">
        <f>K64-J65</f>
        <v>4.3494999999999999</v>
      </c>
      <c r="M64">
        <v>4.3494999999999999</v>
      </c>
    </row>
    <row r="65" spans="1:13" x14ac:dyDescent="0.2">
      <c r="A65" s="3">
        <v>2010</v>
      </c>
      <c r="B65">
        <v>0.6804</v>
      </c>
      <c r="C65">
        <v>5</v>
      </c>
      <c r="G65" s="5" t="s">
        <v>32</v>
      </c>
      <c r="H65" s="3">
        <v>2013</v>
      </c>
      <c r="I65" s="5" t="str">
        <f t="shared" si="0"/>
        <v>ala212013</v>
      </c>
      <c r="J65">
        <v>0.65050000000000008</v>
      </c>
      <c r="K65">
        <v>5</v>
      </c>
      <c r="M65">
        <v>5</v>
      </c>
    </row>
    <row r="66" spans="1:13" x14ac:dyDescent="0.2">
      <c r="A66" s="3">
        <v>2011</v>
      </c>
      <c r="B66">
        <v>0.63545000000000007</v>
      </c>
      <c r="C66">
        <v>5</v>
      </c>
      <c r="H66" s="5" t="s">
        <v>35</v>
      </c>
      <c r="I66" s="5" t="str">
        <f t="shared" ref="I66:I129" si="7">CONCATENATE(G66,H66)</f>
        <v>del01</v>
      </c>
      <c r="J66" s="6">
        <v>0.54780526315789457</v>
      </c>
      <c r="K66" s="6">
        <v>7</v>
      </c>
      <c r="M66">
        <v>7</v>
      </c>
    </row>
    <row r="67" spans="1:13" x14ac:dyDescent="0.2">
      <c r="A67" s="3">
        <v>2012</v>
      </c>
      <c r="B67">
        <v>0.5776</v>
      </c>
      <c r="C67">
        <v>5</v>
      </c>
      <c r="G67" s="5" t="s">
        <v>35</v>
      </c>
      <c r="H67" s="3">
        <v>2004</v>
      </c>
      <c r="I67" s="5" t="str">
        <f t="shared" si="7"/>
        <v>del012004</v>
      </c>
      <c r="J67">
        <v>0.34560000000000002</v>
      </c>
      <c r="K67">
        <v>7</v>
      </c>
      <c r="L67">
        <f t="shared" ref="L67:L73" si="8">L68-J68</f>
        <v>1.9850500000000002</v>
      </c>
      <c r="M67">
        <v>1.9850500000000002</v>
      </c>
    </row>
    <row r="68" spans="1:13" x14ac:dyDescent="0.2">
      <c r="A68" s="3">
        <v>2013</v>
      </c>
      <c r="B68">
        <v>0.65050000000000008</v>
      </c>
      <c r="C68">
        <v>5</v>
      </c>
      <c r="G68" s="5" t="s">
        <v>35</v>
      </c>
      <c r="H68" s="3">
        <v>2005</v>
      </c>
      <c r="I68" s="5" t="str">
        <f t="shared" si="7"/>
        <v>del012005</v>
      </c>
      <c r="J68">
        <v>0.48934999999999995</v>
      </c>
      <c r="K68">
        <v>7</v>
      </c>
      <c r="L68">
        <f t="shared" si="8"/>
        <v>2.4744000000000002</v>
      </c>
      <c r="M68">
        <v>2.4744000000000002</v>
      </c>
    </row>
    <row r="69" spans="1:13" x14ac:dyDescent="0.2">
      <c r="A69" s="2" t="s">
        <v>35</v>
      </c>
      <c r="B69">
        <v>0.54780526315789457</v>
      </c>
      <c r="C69">
        <v>7</v>
      </c>
      <c r="G69" s="5" t="s">
        <v>35</v>
      </c>
      <c r="H69" s="3">
        <v>2006</v>
      </c>
      <c r="I69" s="5" t="str">
        <f t="shared" si="7"/>
        <v>del012006</v>
      </c>
      <c r="J69">
        <v>0.41625000000000001</v>
      </c>
      <c r="K69">
        <v>7</v>
      </c>
      <c r="L69">
        <f t="shared" si="8"/>
        <v>2.8906500000000004</v>
      </c>
      <c r="M69">
        <v>2.8906500000000004</v>
      </c>
    </row>
    <row r="70" spans="1:13" x14ac:dyDescent="0.2">
      <c r="A70" s="3">
        <v>2004</v>
      </c>
      <c r="B70">
        <v>0.34560000000000002</v>
      </c>
      <c r="C70">
        <v>7</v>
      </c>
      <c r="G70" s="5" t="s">
        <v>35</v>
      </c>
      <c r="H70" s="3">
        <v>2007</v>
      </c>
      <c r="I70" s="5" t="str">
        <f t="shared" si="7"/>
        <v>del012007</v>
      </c>
      <c r="J70">
        <v>0.78710000000000002</v>
      </c>
      <c r="K70">
        <v>7</v>
      </c>
      <c r="L70">
        <f t="shared" si="8"/>
        <v>3.6777500000000005</v>
      </c>
      <c r="M70">
        <v>3.6777500000000005</v>
      </c>
    </row>
    <row r="71" spans="1:13" x14ac:dyDescent="0.2">
      <c r="A71" s="3">
        <v>2005</v>
      </c>
      <c r="B71">
        <v>0.48934999999999995</v>
      </c>
      <c r="C71">
        <v>7</v>
      </c>
      <c r="G71" s="5" t="s">
        <v>35</v>
      </c>
      <c r="H71" s="3">
        <v>2008</v>
      </c>
      <c r="I71" s="5" t="str">
        <f t="shared" si="7"/>
        <v>del012008</v>
      </c>
      <c r="J71">
        <v>0.54995000000000005</v>
      </c>
      <c r="K71">
        <v>7</v>
      </c>
      <c r="L71">
        <f t="shared" si="8"/>
        <v>4.2277000000000005</v>
      </c>
      <c r="M71">
        <v>4.2277000000000005</v>
      </c>
    </row>
    <row r="72" spans="1:13" x14ac:dyDescent="0.2">
      <c r="A72" s="3">
        <v>2006</v>
      </c>
      <c r="B72">
        <v>0.41625000000000001</v>
      </c>
      <c r="C72">
        <v>7</v>
      </c>
      <c r="G72" s="5" t="s">
        <v>35</v>
      </c>
      <c r="H72" s="3">
        <v>2009</v>
      </c>
      <c r="I72" s="5" t="str">
        <f t="shared" si="7"/>
        <v>del012009</v>
      </c>
      <c r="J72">
        <v>0.88539999999999996</v>
      </c>
      <c r="K72">
        <v>7</v>
      </c>
      <c r="L72">
        <f t="shared" si="8"/>
        <v>5.1131000000000002</v>
      </c>
      <c r="M72">
        <v>5.1131000000000002</v>
      </c>
    </row>
    <row r="73" spans="1:13" x14ac:dyDescent="0.2">
      <c r="A73" s="3">
        <v>2007</v>
      </c>
      <c r="B73">
        <v>0.78710000000000002</v>
      </c>
      <c r="C73">
        <v>7</v>
      </c>
      <c r="G73" s="5" t="s">
        <v>35</v>
      </c>
      <c r="H73" s="3">
        <v>2010</v>
      </c>
      <c r="I73" s="5" t="str">
        <f t="shared" si="7"/>
        <v>del012010</v>
      </c>
      <c r="J73">
        <v>0.36330000000000001</v>
      </c>
      <c r="K73">
        <v>7</v>
      </c>
      <c r="L73">
        <f t="shared" si="8"/>
        <v>5.4763999999999999</v>
      </c>
      <c r="M73">
        <v>5.4763999999999999</v>
      </c>
    </row>
    <row r="74" spans="1:13" x14ac:dyDescent="0.2">
      <c r="A74" s="3">
        <v>2008</v>
      </c>
      <c r="B74">
        <v>0.54995000000000005</v>
      </c>
      <c r="C74">
        <v>7</v>
      </c>
      <c r="G74" s="5" t="s">
        <v>35</v>
      </c>
      <c r="H74" s="3">
        <v>2011</v>
      </c>
      <c r="I74" s="5" t="str">
        <f t="shared" si="7"/>
        <v>del012011</v>
      </c>
      <c r="J74">
        <v>0.53725000000000001</v>
      </c>
      <c r="K74">
        <v>7</v>
      </c>
      <c r="L74">
        <f>L75-J75</f>
        <v>6.0136500000000002</v>
      </c>
      <c r="M74">
        <v>6.0136500000000002</v>
      </c>
    </row>
    <row r="75" spans="1:13" x14ac:dyDescent="0.2">
      <c r="A75" s="3">
        <v>2009</v>
      </c>
      <c r="B75">
        <v>0.88539999999999996</v>
      </c>
      <c r="C75">
        <v>7</v>
      </c>
      <c r="G75" s="5" t="s">
        <v>35</v>
      </c>
      <c r="H75" s="3">
        <v>2012</v>
      </c>
      <c r="I75" s="5" t="str">
        <f t="shared" si="7"/>
        <v>del012012</v>
      </c>
      <c r="J75">
        <v>0.67355000000000009</v>
      </c>
      <c r="K75">
        <v>7</v>
      </c>
      <c r="L75">
        <f>K75-J76</f>
        <v>6.6871999999999998</v>
      </c>
      <c r="M75">
        <v>6.6871999999999998</v>
      </c>
    </row>
    <row r="76" spans="1:13" x14ac:dyDescent="0.2">
      <c r="A76" s="3">
        <v>2010</v>
      </c>
      <c r="B76">
        <v>0.36330000000000001</v>
      </c>
      <c r="C76">
        <v>7</v>
      </c>
      <c r="G76" s="5" t="s">
        <v>35</v>
      </c>
      <c r="H76" s="3">
        <v>2013</v>
      </c>
      <c r="I76" s="5" t="str">
        <f t="shared" si="7"/>
        <v>del012013</v>
      </c>
      <c r="J76">
        <v>0.31280000000000002</v>
      </c>
      <c r="K76">
        <v>7</v>
      </c>
      <c r="M76">
        <v>7</v>
      </c>
    </row>
    <row r="77" spans="1:13" x14ac:dyDescent="0.2">
      <c r="A77" s="3">
        <v>2011</v>
      </c>
      <c r="B77">
        <v>0.53725000000000001</v>
      </c>
      <c r="C77">
        <v>7</v>
      </c>
      <c r="H77" s="5" t="s">
        <v>39</v>
      </c>
      <c r="I77" s="5" t="str">
        <f t="shared" si="7"/>
        <v>del07</v>
      </c>
      <c r="J77" s="6">
        <v>0.60779000000000016</v>
      </c>
      <c r="K77" s="6">
        <v>10</v>
      </c>
      <c r="M77">
        <v>10</v>
      </c>
    </row>
    <row r="78" spans="1:13" x14ac:dyDescent="0.2">
      <c r="A78" s="3">
        <v>2012</v>
      </c>
      <c r="B78">
        <v>0.67355000000000009</v>
      </c>
      <c r="C78">
        <v>7</v>
      </c>
      <c r="G78" s="5" t="s">
        <v>39</v>
      </c>
      <c r="H78" s="3">
        <v>2004</v>
      </c>
      <c r="I78" s="5" t="str">
        <f t="shared" si="7"/>
        <v>del072004</v>
      </c>
      <c r="J78">
        <v>0.61040000000000005</v>
      </c>
      <c r="K78">
        <v>10</v>
      </c>
      <c r="L78">
        <f t="shared" ref="L78:L84" si="9">L79-J79</f>
        <v>4.5324999999999989</v>
      </c>
      <c r="M78">
        <v>4.5324999999999989</v>
      </c>
    </row>
    <row r="79" spans="1:13" x14ac:dyDescent="0.2">
      <c r="A79" s="3">
        <v>2013</v>
      </c>
      <c r="B79">
        <v>0.31280000000000002</v>
      </c>
      <c r="C79">
        <v>7</v>
      </c>
      <c r="G79" s="5" t="s">
        <v>39</v>
      </c>
      <c r="H79" s="3">
        <v>2005</v>
      </c>
      <c r="I79" s="5" t="str">
        <f t="shared" si="7"/>
        <v>del072005</v>
      </c>
      <c r="J79">
        <v>0.76300000000000001</v>
      </c>
      <c r="K79">
        <v>10</v>
      </c>
      <c r="L79">
        <f t="shared" si="9"/>
        <v>5.2954999999999988</v>
      </c>
      <c r="M79">
        <v>5.2954999999999988</v>
      </c>
    </row>
    <row r="80" spans="1:13" x14ac:dyDescent="0.2">
      <c r="A80" s="2" t="s">
        <v>39</v>
      </c>
      <c r="B80">
        <v>0.60779000000000016</v>
      </c>
      <c r="C80">
        <v>10</v>
      </c>
      <c r="G80" s="5" t="s">
        <v>39</v>
      </c>
      <c r="H80" s="3">
        <v>2006</v>
      </c>
      <c r="I80" s="5" t="str">
        <f t="shared" si="7"/>
        <v>del072006</v>
      </c>
      <c r="J80">
        <v>0.41149999999999998</v>
      </c>
      <c r="K80">
        <v>10</v>
      </c>
      <c r="L80">
        <f t="shared" si="9"/>
        <v>5.706999999999999</v>
      </c>
      <c r="M80">
        <v>5.706999999999999</v>
      </c>
    </row>
    <row r="81" spans="1:13" x14ac:dyDescent="0.2">
      <c r="A81" s="3">
        <v>2004</v>
      </c>
      <c r="B81">
        <v>0.61040000000000005</v>
      </c>
      <c r="C81">
        <v>10</v>
      </c>
      <c r="G81" s="5" t="s">
        <v>39</v>
      </c>
      <c r="H81" s="3">
        <v>2007</v>
      </c>
      <c r="I81" s="5" t="str">
        <f t="shared" si="7"/>
        <v>del072007</v>
      </c>
      <c r="J81">
        <v>0.65195000000000003</v>
      </c>
      <c r="K81">
        <v>10</v>
      </c>
      <c r="L81">
        <f t="shared" si="9"/>
        <v>6.3589499999999992</v>
      </c>
      <c r="M81">
        <v>6.3589499999999992</v>
      </c>
    </row>
    <row r="82" spans="1:13" x14ac:dyDescent="0.2">
      <c r="A82" s="3">
        <v>2005</v>
      </c>
      <c r="B82">
        <v>0.76300000000000001</v>
      </c>
      <c r="C82">
        <v>10</v>
      </c>
      <c r="G82" s="5" t="s">
        <v>39</v>
      </c>
      <c r="H82" s="3">
        <v>2008</v>
      </c>
      <c r="I82" s="5" t="str">
        <f t="shared" si="7"/>
        <v>del072008</v>
      </c>
      <c r="J82">
        <v>0.43864999999999998</v>
      </c>
      <c r="K82">
        <v>10</v>
      </c>
      <c r="L82">
        <f t="shared" si="9"/>
        <v>6.7975999999999992</v>
      </c>
      <c r="M82">
        <v>6.7975999999999992</v>
      </c>
    </row>
    <row r="83" spans="1:13" x14ac:dyDescent="0.2">
      <c r="A83" s="3">
        <v>2006</v>
      </c>
      <c r="B83">
        <v>0.41149999999999998</v>
      </c>
      <c r="C83">
        <v>10</v>
      </c>
      <c r="G83" s="5" t="s">
        <v>39</v>
      </c>
      <c r="H83" s="3">
        <v>2009</v>
      </c>
      <c r="I83" s="5" t="str">
        <f t="shared" si="7"/>
        <v>del072009</v>
      </c>
      <c r="J83">
        <v>0.81384999999999996</v>
      </c>
      <c r="K83">
        <v>10</v>
      </c>
      <c r="L83">
        <f t="shared" si="9"/>
        <v>7.6114499999999996</v>
      </c>
      <c r="M83">
        <v>7.6114499999999996</v>
      </c>
    </row>
    <row r="84" spans="1:13" x14ac:dyDescent="0.2">
      <c r="A84" s="3">
        <v>2007</v>
      </c>
      <c r="B84">
        <v>0.65195000000000003</v>
      </c>
      <c r="C84">
        <v>10</v>
      </c>
      <c r="G84" s="5" t="s">
        <v>39</v>
      </c>
      <c r="H84" s="3">
        <v>2010</v>
      </c>
      <c r="I84" s="5" t="str">
        <f t="shared" si="7"/>
        <v>del072010</v>
      </c>
      <c r="J84">
        <v>0.55959999999999999</v>
      </c>
      <c r="K84">
        <v>10</v>
      </c>
      <c r="L84">
        <f t="shared" si="9"/>
        <v>8.1710499999999993</v>
      </c>
      <c r="M84">
        <v>8.1710499999999993</v>
      </c>
    </row>
    <row r="85" spans="1:13" x14ac:dyDescent="0.2">
      <c r="A85" s="3">
        <v>2008</v>
      </c>
      <c r="B85">
        <v>0.43864999999999998</v>
      </c>
      <c r="C85">
        <v>10</v>
      </c>
      <c r="G85" s="5" t="s">
        <v>39</v>
      </c>
      <c r="H85" s="3">
        <v>2011</v>
      </c>
      <c r="I85" s="5" t="str">
        <f t="shared" si="7"/>
        <v>del072011</v>
      </c>
      <c r="J85">
        <v>0.57694999999999996</v>
      </c>
      <c r="K85">
        <v>10</v>
      </c>
      <c r="L85">
        <f>L86-J86</f>
        <v>8.7479999999999993</v>
      </c>
      <c r="M85">
        <v>8.7479999999999993</v>
      </c>
    </row>
    <row r="86" spans="1:13" x14ac:dyDescent="0.2">
      <c r="A86" s="3">
        <v>2009</v>
      </c>
      <c r="B86">
        <v>0.81384999999999996</v>
      </c>
      <c r="C86">
        <v>10</v>
      </c>
      <c r="G86" s="5" t="s">
        <v>39</v>
      </c>
      <c r="H86" s="3">
        <v>2012</v>
      </c>
      <c r="I86" s="5" t="str">
        <f t="shared" si="7"/>
        <v>del072012</v>
      </c>
      <c r="J86">
        <v>0.55495000000000005</v>
      </c>
      <c r="K86">
        <v>10</v>
      </c>
      <c r="L86">
        <f>K86-J87</f>
        <v>9.3029499999999992</v>
      </c>
      <c r="M86">
        <v>9.3029499999999992</v>
      </c>
    </row>
    <row r="87" spans="1:13" x14ac:dyDescent="0.2">
      <c r="A87" s="3">
        <v>2010</v>
      </c>
      <c r="B87">
        <v>0.55959999999999999</v>
      </c>
      <c r="C87">
        <v>10</v>
      </c>
      <c r="G87" s="5" t="s">
        <v>39</v>
      </c>
      <c r="H87" s="3">
        <v>2013</v>
      </c>
      <c r="I87" s="5" t="str">
        <f t="shared" si="7"/>
        <v>del072013</v>
      </c>
      <c r="J87">
        <v>0.69705000000000006</v>
      </c>
      <c r="K87">
        <v>10</v>
      </c>
      <c r="M87">
        <v>10</v>
      </c>
    </row>
    <row r="88" spans="1:13" x14ac:dyDescent="0.2">
      <c r="A88" s="3">
        <v>2011</v>
      </c>
      <c r="B88">
        <v>0.57694999999999996</v>
      </c>
      <c r="C88">
        <v>10</v>
      </c>
      <c r="H88" s="5" t="s">
        <v>42</v>
      </c>
      <c r="I88" s="5" t="str">
        <f t="shared" si="7"/>
        <v>del08</v>
      </c>
      <c r="J88" s="6">
        <v>0.77864666666666671</v>
      </c>
      <c r="K88" s="6">
        <v>8</v>
      </c>
      <c r="M88">
        <v>8</v>
      </c>
    </row>
    <row r="89" spans="1:13" x14ac:dyDescent="0.2">
      <c r="A89" s="3">
        <v>2012</v>
      </c>
      <c r="B89">
        <v>0.55495000000000005</v>
      </c>
      <c r="C89">
        <v>10</v>
      </c>
      <c r="G89" s="5" t="s">
        <v>42</v>
      </c>
      <c r="H89" s="3">
        <v>2005</v>
      </c>
      <c r="I89" s="5" t="str">
        <f t="shared" si="7"/>
        <v>del082005</v>
      </c>
      <c r="J89">
        <v>0.42380000000000001</v>
      </c>
      <c r="K89">
        <v>8</v>
      </c>
      <c r="L89">
        <f t="shared" ref="L89:L94" si="10">L90-J90</f>
        <v>1.9684500000000005</v>
      </c>
      <c r="M89">
        <v>1.9684500000000005</v>
      </c>
    </row>
    <row r="90" spans="1:13" x14ac:dyDescent="0.2">
      <c r="A90" s="3">
        <v>2013</v>
      </c>
      <c r="B90">
        <v>0.69705000000000006</v>
      </c>
      <c r="C90">
        <v>10</v>
      </c>
      <c r="G90" s="5" t="s">
        <v>42</v>
      </c>
      <c r="H90" s="3">
        <v>2006</v>
      </c>
      <c r="I90" s="5" t="str">
        <f t="shared" si="7"/>
        <v>del082006</v>
      </c>
      <c r="J90">
        <v>0.49440000000000001</v>
      </c>
      <c r="K90">
        <v>8</v>
      </c>
      <c r="L90">
        <f t="shared" si="10"/>
        <v>2.4628500000000004</v>
      </c>
      <c r="M90">
        <v>2.4628500000000004</v>
      </c>
    </row>
    <row r="91" spans="1:13" x14ac:dyDescent="0.2">
      <c r="A91" s="2" t="s">
        <v>42</v>
      </c>
      <c r="B91">
        <v>0.77864666666666671</v>
      </c>
      <c r="C91">
        <v>8</v>
      </c>
      <c r="G91" s="5" t="s">
        <v>42</v>
      </c>
      <c r="H91" s="3">
        <v>2007</v>
      </c>
      <c r="I91" s="5" t="str">
        <f t="shared" si="7"/>
        <v>del082007</v>
      </c>
      <c r="J91">
        <v>0.31280000000000002</v>
      </c>
      <c r="K91">
        <v>8</v>
      </c>
      <c r="L91">
        <f t="shared" si="10"/>
        <v>2.7756500000000006</v>
      </c>
      <c r="M91">
        <v>2.7756500000000006</v>
      </c>
    </row>
    <row r="92" spans="1:13" x14ac:dyDescent="0.2">
      <c r="A92" s="3">
        <v>2005</v>
      </c>
      <c r="B92">
        <v>0.42380000000000001</v>
      </c>
      <c r="C92">
        <v>8</v>
      </c>
      <c r="G92" s="5" t="s">
        <v>42</v>
      </c>
      <c r="H92" s="3">
        <v>2008</v>
      </c>
      <c r="I92" s="5" t="str">
        <f t="shared" si="7"/>
        <v>del082008</v>
      </c>
      <c r="J92">
        <v>1.1553500000000001</v>
      </c>
      <c r="K92">
        <v>8</v>
      </c>
      <c r="L92">
        <f t="shared" si="10"/>
        <v>3.9310000000000009</v>
      </c>
      <c r="M92">
        <v>3.9310000000000009</v>
      </c>
    </row>
    <row r="93" spans="1:13" x14ac:dyDescent="0.2">
      <c r="A93" s="3">
        <v>2006</v>
      </c>
      <c r="B93">
        <v>0.49440000000000001</v>
      </c>
      <c r="C93">
        <v>8</v>
      </c>
      <c r="G93" s="5" t="s">
        <v>42</v>
      </c>
      <c r="H93" s="3">
        <v>2009</v>
      </c>
      <c r="I93" s="5" t="str">
        <f t="shared" si="7"/>
        <v>del082009</v>
      </c>
      <c r="J93">
        <v>0.93340000000000001</v>
      </c>
      <c r="K93">
        <v>8</v>
      </c>
      <c r="L93">
        <f t="shared" si="10"/>
        <v>4.8644000000000007</v>
      </c>
      <c r="M93">
        <v>4.8644000000000007</v>
      </c>
    </row>
    <row r="94" spans="1:13" x14ac:dyDescent="0.2">
      <c r="A94" s="3">
        <v>2007</v>
      </c>
      <c r="B94">
        <v>0.31280000000000002</v>
      </c>
      <c r="C94">
        <v>8</v>
      </c>
      <c r="G94" s="5" t="s">
        <v>42</v>
      </c>
      <c r="H94" s="3">
        <v>2010</v>
      </c>
      <c r="I94" s="5" t="str">
        <f t="shared" si="7"/>
        <v>del082010</v>
      </c>
      <c r="J94">
        <v>0.99895</v>
      </c>
      <c r="K94">
        <v>8</v>
      </c>
      <c r="L94">
        <f t="shared" si="10"/>
        <v>5.8633500000000005</v>
      </c>
      <c r="M94">
        <v>5.8633500000000005</v>
      </c>
    </row>
    <row r="95" spans="1:13" x14ac:dyDescent="0.2">
      <c r="A95" s="3">
        <v>2008</v>
      </c>
      <c r="B95">
        <v>1.1553500000000001</v>
      </c>
      <c r="C95">
        <v>8</v>
      </c>
      <c r="G95" s="5" t="s">
        <v>42</v>
      </c>
      <c r="H95" s="3">
        <v>2011</v>
      </c>
      <c r="I95" s="5" t="str">
        <f t="shared" si="7"/>
        <v>del082011</v>
      </c>
      <c r="J95">
        <v>0.69874999999999998</v>
      </c>
      <c r="K95">
        <v>8</v>
      </c>
      <c r="L95">
        <f>L96-J96</f>
        <v>6.5621</v>
      </c>
      <c r="M95">
        <v>6.5621</v>
      </c>
    </row>
    <row r="96" spans="1:13" x14ac:dyDescent="0.2">
      <c r="A96" s="3">
        <v>2009</v>
      </c>
      <c r="B96">
        <v>0.93340000000000001</v>
      </c>
      <c r="C96">
        <v>8</v>
      </c>
      <c r="G96" s="5" t="s">
        <v>42</v>
      </c>
      <c r="H96" s="3">
        <v>2012</v>
      </c>
      <c r="I96" s="5" t="str">
        <f t="shared" si="7"/>
        <v>del082012</v>
      </c>
      <c r="J96">
        <v>0.68110000000000004</v>
      </c>
      <c r="K96">
        <v>8</v>
      </c>
      <c r="L96">
        <f>K96-J97</f>
        <v>7.2431999999999999</v>
      </c>
      <c r="M96">
        <v>7.2431999999999999</v>
      </c>
    </row>
    <row r="97" spans="1:13" x14ac:dyDescent="0.2">
      <c r="A97" s="3">
        <v>2010</v>
      </c>
      <c r="B97">
        <v>0.99895</v>
      </c>
      <c r="C97">
        <v>8</v>
      </c>
      <c r="G97" s="5" t="s">
        <v>42</v>
      </c>
      <c r="H97" s="3">
        <v>2013</v>
      </c>
      <c r="I97" s="5" t="str">
        <f t="shared" si="7"/>
        <v>del082013</v>
      </c>
      <c r="J97">
        <v>0.75680000000000003</v>
      </c>
      <c r="K97">
        <v>8</v>
      </c>
      <c r="M97">
        <v>8</v>
      </c>
    </row>
    <row r="98" spans="1:13" x14ac:dyDescent="0.2">
      <c r="A98" s="3">
        <v>2011</v>
      </c>
      <c r="B98">
        <v>0.69874999999999998</v>
      </c>
      <c r="C98">
        <v>8</v>
      </c>
      <c r="H98" s="5" t="s">
        <v>45</v>
      </c>
      <c r="I98" s="5" t="str">
        <f t="shared" si="7"/>
        <v>del09</v>
      </c>
      <c r="J98" s="6">
        <v>0.43297727272727277</v>
      </c>
      <c r="K98" s="6">
        <v>6</v>
      </c>
      <c r="M98">
        <v>6</v>
      </c>
    </row>
    <row r="99" spans="1:13" x14ac:dyDescent="0.2">
      <c r="A99" s="3">
        <v>2012</v>
      </c>
      <c r="B99">
        <v>0.68110000000000004</v>
      </c>
      <c r="C99">
        <v>8</v>
      </c>
      <c r="G99" s="5" t="s">
        <v>45</v>
      </c>
      <c r="H99" s="3">
        <v>2003</v>
      </c>
      <c r="I99" s="5" t="str">
        <f t="shared" si="7"/>
        <v>del092003</v>
      </c>
      <c r="J99">
        <v>0.38095000000000001</v>
      </c>
      <c r="K99">
        <v>6</v>
      </c>
      <c r="L99">
        <f t="shared" ref="L99:L106" si="11">L100-J100</f>
        <v>1.6181999999999981</v>
      </c>
      <c r="M99">
        <v>1.6181999999999981</v>
      </c>
    </row>
    <row r="100" spans="1:13" x14ac:dyDescent="0.2">
      <c r="A100" s="3">
        <v>2013</v>
      </c>
      <c r="B100">
        <v>0.75680000000000003</v>
      </c>
      <c r="C100">
        <v>8</v>
      </c>
      <c r="G100" s="5" t="s">
        <v>45</v>
      </c>
      <c r="H100" s="3">
        <v>2004</v>
      </c>
      <c r="I100" s="5" t="str">
        <f t="shared" si="7"/>
        <v>del092004</v>
      </c>
      <c r="J100">
        <v>0.42125000000000001</v>
      </c>
      <c r="K100">
        <v>6</v>
      </c>
      <c r="L100">
        <f t="shared" si="11"/>
        <v>2.0394499999999982</v>
      </c>
      <c r="M100">
        <v>2.0394499999999982</v>
      </c>
    </row>
    <row r="101" spans="1:13" x14ac:dyDescent="0.2">
      <c r="A101" s="2" t="s">
        <v>45</v>
      </c>
      <c r="B101">
        <v>0.43297727272727277</v>
      </c>
      <c r="C101">
        <v>6</v>
      </c>
      <c r="G101" s="5" t="s">
        <v>45</v>
      </c>
      <c r="H101" s="3">
        <v>2005</v>
      </c>
      <c r="I101" s="5" t="str">
        <f t="shared" si="7"/>
        <v>del092005</v>
      </c>
      <c r="J101">
        <v>0.57520000000000004</v>
      </c>
      <c r="K101">
        <v>6</v>
      </c>
      <c r="L101">
        <f t="shared" si="11"/>
        <v>2.6146499999999984</v>
      </c>
      <c r="M101">
        <v>2.6146499999999984</v>
      </c>
    </row>
    <row r="102" spans="1:13" x14ac:dyDescent="0.2">
      <c r="A102" s="3">
        <v>2003</v>
      </c>
      <c r="B102">
        <v>0.38095000000000001</v>
      </c>
      <c r="C102">
        <v>6</v>
      </c>
      <c r="G102" s="5" t="s">
        <v>45</v>
      </c>
      <c r="H102" s="3">
        <v>2006</v>
      </c>
      <c r="I102" s="5" t="str">
        <f t="shared" si="7"/>
        <v>del092006</v>
      </c>
      <c r="J102">
        <v>0.64070000000000005</v>
      </c>
      <c r="K102">
        <v>6</v>
      </c>
      <c r="L102">
        <f t="shared" si="11"/>
        <v>3.2553499999999986</v>
      </c>
      <c r="M102">
        <v>3.2553499999999986</v>
      </c>
    </row>
    <row r="103" spans="1:13" x14ac:dyDescent="0.2">
      <c r="A103" s="3">
        <v>2004</v>
      </c>
      <c r="B103">
        <v>0.42125000000000001</v>
      </c>
      <c r="C103">
        <v>6</v>
      </c>
      <c r="G103" s="5" t="s">
        <v>45</v>
      </c>
      <c r="H103" s="3">
        <v>2007</v>
      </c>
      <c r="I103" s="5" t="str">
        <f t="shared" si="7"/>
        <v>del092007</v>
      </c>
      <c r="J103">
        <v>0.33300000000000002</v>
      </c>
      <c r="K103">
        <v>6</v>
      </c>
      <c r="L103">
        <f t="shared" si="11"/>
        <v>3.5883499999999988</v>
      </c>
      <c r="M103">
        <v>3.5883499999999988</v>
      </c>
    </row>
    <row r="104" spans="1:13" x14ac:dyDescent="0.2">
      <c r="A104" s="3">
        <v>2005</v>
      </c>
      <c r="B104">
        <v>0.57520000000000004</v>
      </c>
      <c r="C104">
        <v>6</v>
      </c>
      <c r="G104" s="5" t="s">
        <v>45</v>
      </c>
      <c r="H104" s="3">
        <v>2008</v>
      </c>
      <c r="I104" s="5" t="str">
        <f t="shared" si="7"/>
        <v>del092008</v>
      </c>
      <c r="J104">
        <v>0.42130000000000001</v>
      </c>
      <c r="K104">
        <v>6</v>
      </c>
      <c r="L104">
        <f t="shared" si="11"/>
        <v>4.0096499999999988</v>
      </c>
      <c r="M104">
        <v>4.0096499999999988</v>
      </c>
    </row>
    <row r="105" spans="1:13" x14ac:dyDescent="0.2">
      <c r="A105" s="3">
        <v>2006</v>
      </c>
      <c r="B105">
        <v>0.64070000000000005</v>
      </c>
      <c r="C105">
        <v>6</v>
      </c>
      <c r="G105" s="5" t="s">
        <v>45</v>
      </c>
      <c r="H105" s="3">
        <v>2009</v>
      </c>
      <c r="I105" s="5" t="str">
        <f t="shared" si="7"/>
        <v>del092009</v>
      </c>
      <c r="J105">
        <v>0.38090000000000002</v>
      </c>
      <c r="K105">
        <v>6</v>
      </c>
      <c r="L105">
        <f t="shared" si="11"/>
        <v>4.3905499999999993</v>
      </c>
      <c r="M105">
        <v>4.3905499999999993</v>
      </c>
    </row>
    <row r="106" spans="1:13" x14ac:dyDescent="0.2">
      <c r="A106" s="3">
        <v>2007</v>
      </c>
      <c r="B106">
        <v>0.33300000000000002</v>
      </c>
      <c r="C106">
        <v>6</v>
      </c>
      <c r="G106" s="5" t="s">
        <v>45</v>
      </c>
      <c r="H106" s="3">
        <v>2010</v>
      </c>
      <c r="I106" s="5" t="str">
        <f t="shared" si="7"/>
        <v>del092010</v>
      </c>
      <c r="J106">
        <v>0.44650000000000001</v>
      </c>
      <c r="K106">
        <v>6</v>
      </c>
      <c r="L106">
        <f t="shared" si="11"/>
        <v>4.8370499999999996</v>
      </c>
      <c r="M106">
        <v>4.8370499999999996</v>
      </c>
    </row>
    <row r="107" spans="1:13" x14ac:dyDescent="0.2">
      <c r="A107" s="3">
        <v>2008</v>
      </c>
      <c r="B107">
        <v>0.42130000000000001</v>
      </c>
      <c r="C107">
        <v>6</v>
      </c>
      <c r="G107" s="5" t="s">
        <v>45</v>
      </c>
      <c r="H107" s="3">
        <v>2011</v>
      </c>
      <c r="I107" s="5" t="str">
        <f t="shared" si="7"/>
        <v>del092011</v>
      </c>
      <c r="J107">
        <v>0.24220000000000003</v>
      </c>
      <c r="K107">
        <v>6</v>
      </c>
      <c r="L107">
        <f>L108-J108</f>
        <v>5.07925</v>
      </c>
      <c r="M107">
        <v>5.07925</v>
      </c>
    </row>
    <row r="108" spans="1:13" x14ac:dyDescent="0.2">
      <c r="A108" s="3">
        <v>2009</v>
      </c>
      <c r="B108">
        <v>0.38090000000000002</v>
      </c>
      <c r="C108">
        <v>6</v>
      </c>
      <c r="G108" s="5" t="s">
        <v>45</v>
      </c>
      <c r="H108" s="3">
        <v>2012</v>
      </c>
      <c r="I108" s="5" t="str">
        <f t="shared" si="7"/>
        <v>del092012</v>
      </c>
      <c r="J108">
        <v>0.28249999999999997</v>
      </c>
      <c r="K108">
        <v>6</v>
      </c>
      <c r="L108">
        <f>K108-J109</f>
        <v>5.3617499999999998</v>
      </c>
      <c r="M108">
        <v>5.3617499999999998</v>
      </c>
    </row>
    <row r="109" spans="1:13" x14ac:dyDescent="0.2">
      <c r="A109" s="3">
        <v>2010</v>
      </c>
      <c r="B109">
        <v>0.44650000000000001</v>
      </c>
      <c r="C109">
        <v>6</v>
      </c>
      <c r="G109" s="5" t="s">
        <v>45</v>
      </c>
      <c r="H109" s="3">
        <v>2013</v>
      </c>
      <c r="I109" s="5" t="str">
        <f t="shared" si="7"/>
        <v>del092013</v>
      </c>
      <c r="J109">
        <v>0.63824999999999998</v>
      </c>
      <c r="K109">
        <v>6</v>
      </c>
      <c r="M109">
        <v>6</v>
      </c>
    </row>
    <row r="110" spans="1:13" x14ac:dyDescent="0.2">
      <c r="A110" s="3">
        <v>2011</v>
      </c>
      <c r="B110">
        <v>0.24220000000000003</v>
      </c>
      <c r="C110">
        <v>6</v>
      </c>
      <c r="H110" s="5" t="s">
        <v>48</v>
      </c>
      <c r="I110" s="5" t="str">
        <f t="shared" si="7"/>
        <v>del12</v>
      </c>
      <c r="J110" s="6">
        <v>0.78286111111111123</v>
      </c>
      <c r="K110" s="6">
        <v>12</v>
      </c>
      <c r="M110">
        <v>12</v>
      </c>
    </row>
    <row r="111" spans="1:13" x14ac:dyDescent="0.2">
      <c r="A111" s="3">
        <v>2012</v>
      </c>
      <c r="B111">
        <v>0.28249999999999997</v>
      </c>
      <c r="C111">
        <v>6</v>
      </c>
      <c r="G111" s="5" t="s">
        <v>48</v>
      </c>
      <c r="H111" s="3">
        <v>2004</v>
      </c>
      <c r="I111" s="5" t="str">
        <f t="shared" si="7"/>
        <v>del122004</v>
      </c>
      <c r="J111">
        <v>0.71640000000000004</v>
      </c>
      <c r="K111">
        <v>12</v>
      </c>
      <c r="L111">
        <f t="shared" ref="L111:L117" si="12">L112-J112</f>
        <v>4.9970999999999988</v>
      </c>
      <c r="M111">
        <v>4.9970999999999988</v>
      </c>
    </row>
    <row r="112" spans="1:13" x14ac:dyDescent="0.2">
      <c r="A112" s="3">
        <v>2013</v>
      </c>
      <c r="B112">
        <v>0.63824999999999998</v>
      </c>
      <c r="C112">
        <v>6</v>
      </c>
      <c r="G112" s="5" t="s">
        <v>48</v>
      </c>
      <c r="H112" s="3">
        <v>2005</v>
      </c>
      <c r="I112" s="5" t="str">
        <f t="shared" si="7"/>
        <v>del122005</v>
      </c>
      <c r="J112">
        <v>0.63070000000000004</v>
      </c>
      <c r="K112">
        <v>12</v>
      </c>
      <c r="L112">
        <f t="shared" si="12"/>
        <v>5.6277999999999988</v>
      </c>
      <c r="M112">
        <v>5.6277999999999988</v>
      </c>
    </row>
    <row r="113" spans="1:13" x14ac:dyDescent="0.2">
      <c r="A113" s="2" t="s">
        <v>48</v>
      </c>
      <c r="B113">
        <v>0.78286111111111123</v>
      </c>
      <c r="C113">
        <v>12</v>
      </c>
      <c r="G113" s="5" t="s">
        <v>48</v>
      </c>
      <c r="H113" s="3">
        <v>2006</v>
      </c>
      <c r="I113" s="5" t="str">
        <f t="shared" si="7"/>
        <v>del122006</v>
      </c>
      <c r="J113">
        <v>0.80225000000000002</v>
      </c>
      <c r="K113">
        <v>12</v>
      </c>
      <c r="L113">
        <f t="shared" si="12"/>
        <v>6.4300499999999987</v>
      </c>
      <c r="M113">
        <v>6.4300499999999987</v>
      </c>
    </row>
    <row r="114" spans="1:13" x14ac:dyDescent="0.2">
      <c r="A114" s="3">
        <v>2004</v>
      </c>
      <c r="B114">
        <v>0.71640000000000004</v>
      </c>
      <c r="C114">
        <v>12</v>
      </c>
      <c r="G114" s="5" t="s">
        <v>48</v>
      </c>
      <c r="H114" s="3">
        <v>2007</v>
      </c>
      <c r="I114" s="5" t="str">
        <f t="shared" si="7"/>
        <v>del122007</v>
      </c>
      <c r="J114">
        <v>0.80974999999999997</v>
      </c>
      <c r="K114">
        <v>12</v>
      </c>
      <c r="L114">
        <f t="shared" si="12"/>
        <v>7.2397999999999989</v>
      </c>
      <c r="M114">
        <v>7.2397999999999989</v>
      </c>
    </row>
    <row r="115" spans="1:13" x14ac:dyDescent="0.2">
      <c r="A115" s="3">
        <v>2005</v>
      </c>
      <c r="B115">
        <v>0.63070000000000004</v>
      </c>
      <c r="C115">
        <v>12</v>
      </c>
      <c r="G115" s="5" t="s">
        <v>48</v>
      </c>
      <c r="H115" s="3">
        <v>2008</v>
      </c>
      <c r="I115" s="5" t="str">
        <f t="shared" si="7"/>
        <v>del122008</v>
      </c>
      <c r="J115">
        <v>0.84505000000000008</v>
      </c>
      <c r="K115">
        <v>12</v>
      </c>
      <c r="L115">
        <f t="shared" si="12"/>
        <v>8.0848499999999994</v>
      </c>
      <c r="M115">
        <v>8.0848499999999994</v>
      </c>
    </row>
    <row r="116" spans="1:13" x14ac:dyDescent="0.2">
      <c r="A116" s="3">
        <v>2006</v>
      </c>
      <c r="B116">
        <v>0.80225000000000002</v>
      </c>
      <c r="C116">
        <v>12</v>
      </c>
      <c r="G116" s="5" t="s">
        <v>48</v>
      </c>
      <c r="H116" s="3">
        <v>2009</v>
      </c>
      <c r="I116" s="5" t="str">
        <f t="shared" si="7"/>
        <v>del122009</v>
      </c>
      <c r="J116">
        <v>0.79715000000000003</v>
      </c>
      <c r="K116">
        <v>12</v>
      </c>
      <c r="L116">
        <f t="shared" si="12"/>
        <v>8.8819999999999997</v>
      </c>
      <c r="M116">
        <v>8.8819999999999997</v>
      </c>
    </row>
    <row r="117" spans="1:13" x14ac:dyDescent="0.2">
      <c r="A117" s="3">
        <v>2007</v>
      </c>
      <c r="B117">
        <v>0.80974999999999997</v>
      </c>
      <c r="C117">
        <v>12</v>
      </c>
      <c r="G117" s="5" t="s">
        <v>48</v>
      </c>
      <c r="H117" s="3">
        <v>2010</v>
      </c>
      <c r="I117" s="5" t="str">
        <f t="shared" si="7"/>
        <v>del122010</v>
      </c>
      <c r="J117">
        <v>0.82994999999999997</v>
      </c>
      <c r="K117">
        <v>12</v>
      </c>
      <c r="L117">
        <f t="shared" si="12"/>
        <v>9.7119499999999999</v>
      </c>
      <c r="M117">
        <v>9.7119499999999999</v>
      </c>
    </row>
    <row r="118" spans="1:13" x14ac:dyDescent="0.2">
      <c r="A118" s="3">
        <v>2008</v>
      </c>
      <c r="B118">
        <v>0.84505000000000008</v>
      </c>
      <c r="C118">
        <v>12</v>
      </c>
      <c r="G118" s="5" t="s">
        <v>48</v>
      </c>
      <c r="H118" s="3">
        <v>2011</v>
      </c>
      <c r="I118" s="5" t="str">
        <f t="shared" si="7"/>
        <v>del122011</v>
      </c>
      <c r="J118">
        <v>0.86525000000000007</v>
      </c>
      <c r="K118">
        <v>12</v>
      </c>
      <c r="L118">
        <f>L119-J119</f>
        <v>10.577199999999999</v>
      </c>
      <c r="M118">
        <v>10.577199999999999</v>
      </c>
    </row>
    <row r="119" spans="1:13" x14ac:dyDescent="0.2">
      <c r="A119" s="3">
        <v>2009</v>
      </c>
      <c r="B119">
        <v>0.79715000000000003</v>
      </c>
      <c r="C119">
        <v>12</v>
      </c>
      <c r="G119" s="5" t="s">
        <v>48</v>
      </c>
      <c r="H119" s="3">
        <v>2012</v>
      </c>
      <c r="I119" s="5" t="str">
        <f t="shared" si="7"/>
        <v>del122012</v>
      </c>
      <c r="J119">
        <v>0.73914999999999997</v>
      </c>
      <c r="K119">
        <v>12</v>
      </c>
      <c r="L119">
        <f>K119-J120</f>
        <v>11.31635</v>
      </c>
      <c r="M119">
        <v>11.31635</v>
      </c>
    </row>
    <row r="120" spans="1:13" x14ac:dyDescent="0.2">
      <c r="A120" s="3">
        <v>2010</v>
      </c>
      <c r="B120">
        <v>0.82994999999999997</v>
      </c>
      <c r="C120">
        <v>12</v>
      </c>
      <c r="G120" s="5" t="s">
        <v>48</v>
      </c>
      <c r="H120" s="3">
        <v>2013</v>
      </c>
      <c r="I120" s="5" t="str">
        <f t="shared" si="7"/>
        <v>del122013</v>
      </c>
      <c r="J120">
        <v>0.68365000000000009</v>
      </c>
      <c r="K120">
        <v>12</v>
      </c>
      <c r="M120">
        <v>12</v>
      </c>
    </row>
    <row r="121" spans="1:13" x14ac:dyDescent="0.2">
      <c r="A121" s="3">
        <v>2011</v>
      </c>
      <c r="B121">
        <v>0.86525000000000007</v>
      </c>
      <c r="C121">
        <v>12</v>
      </c>
      <c r="H121" s="5" t="s">
        <v>51</v>
      </c>
      <c r="I121" s="5" t="str">
        <f t="shared" si="7"/>
        <v>del20</v>
      </c>
      <c r="J121" s="6">
        <v>0.59599565217391304</v>
      </c>
      <c r="K121" s="6">
        <v>9</v>
      </c>
      <c r="M121">
        <v>9</v>
      </c>
    </row>
    <row r="122" spans="1:13" x14ac:dyDescent="0.2">
      <c r="A122" s="3">
        <v>2012</v>
      </c>
      <c r="B122">
        <v>0.73914999999999997</v>
      </c>
      <c r="C122">
        <v>12</v>
      </c>
      <c r="G122" s="5" t="s">
        <v>51</v>
      </c>
      <c r="H122" s="3">
        <v>2002</v>
      </c>
      <c r="I122" s="5" t="str">
        <f t="shared" si="7"/>
        <v>del202002</v>
      </c>
      <c r="J122">
        <v>0.45910000000000001</v>
      </c>
      <c r="K122">
        <v>9</v>
      </c>
      <c r="L122">
        <f t="shared" ref="L122:L130" si="13">L123-J123</f>
        <v>2.3755999999999986</v>
      </c>
      <c r="M122">
        <v>2.3755999999999986</v>
      </c>
    </row>
    <row r="123" spans="1:13" x14ac:dyDescent="0.2">
      <c r="A123" s="3">
        <v>2013</v>
      </c>
      <c r="B123">
        <v>0.68365000000000009</v>
      </c>
      <c r="C123">
        <v>12</v>
      </c>
      <c r="G123" s="5" t="s">
        <v>51</v>
      </c>
      <c r="H123" s="3">
        <v>2003</v>
      </c>
      <c r="I123" s="5" t="str">
        <f t="shared" si="7"/>
        <v>del202003</v>
      </c>
      <c r="J123">
        <v>0.76185000000000003</v>
      </c>
      <c r="K123">
        <v>9</v>
      </c>
      <c r="L123">
        <f t="shared" si="13"/>
        <v>3.1374499999999985</v>
      </c>
      <c r="M123">
        <v>3.1374499999999985</v>
      </c>
    </row>
    <row r="124" spans="1:13" x14ac:dyDescent="0.2">
      <c r="A124" s="2" t="s">
        <v>51</v>
      </c>
      <c r="B124">
        <v>0.59599565217391304</v>
      </c>
      <c r="C124">
        <v>9</v>
      </c>
      <c r="G124" s="5" t="s">
        <v>51</v>
      </c>
      <c r="H124" s="3">
        <v>2004</v>
      </c>
      <c r="I124" s="5" t="str">
        <f t="shared" si="7"/>
        <v>del202004</v>
      </c>
      <c r="J124">
        <v>0.52215</v>
      </c>
      <c r="K124">
        <v>9</v>
      </c>
      <c r="L124">
        <f t="shared" si="13"/>
        <v>3.6595999999999984</v>
      </c>
      <c r="M124">
        <v>3.6595999999999984</v>
      </c>
    </row>
    <row r="125" spans="1:13" x14ac:dyDescent="0.2">
      <c r="A125" s="3">
        <v>2002</v>
      </c>
      <c r="B125">
        <v>0.45910000000000001</v>
      </c>
      <c r="C125">
        <v>9</v>
      </c>
      <c r="G125" s="5" t="s">
        <v>51</v>
      </c>
      <c r="H125" s="3">
        <v>2005</v>
      </c>
      <c r="I125" s="5" t="str">
        <f t="shared" si="7"/>
        <v>del202005</v>
      </c>
      <c r="J125">
        <v>0.56254999999999999</v>
      </c>
      <c r="K125">
        <v>9</v>
      </c>
      <c r="L125">
        <f t="shared" si="13"/>
        <v>4.2221499999999983</v>
      </c>
      <c r="M125">
        <v>4.2221499999999983</v>
      </c>
    </row>
    <row r="126" spans="1:13" x14ac:dyDescent="0.2">
      <c r="A126" s="3">
        <v>2003</v>
      </c>
      <c r="B126">
        <v>0.76185000000000003</v>
      </c>
      <c r="C126">
        <v>9</v>
      </c>
      <c r="G126" s="5" t="s">
        <v>51</v>
      </c>
      <c r="H126" s="3">
        <v>2006</v>
      </c>
      <c r="I126" s="5" t="str">
        <f t="shared" si="7"/>
        <v>del202006</v>
      </c>
      <c r="J126">
        <v>0.57264999999999999</v>
      </c>
      <c r="K126">
        <v>9</v>
      </c>
      <c r="L126">
        <f t="shared" si="13"/>
        <v>4.7947999999999986</v>
      </c>
      <c r="M126">
        <v>4.7947999999999986</v>
      </c>
    </row>
    <row r="127" spans="1:13" x14ac:dyDescent="0.2">
      <c r="A127" s="3">
        <v>2004</v>
      </c>
      <c r="B127">
        <v>0.52215</v>
      </c>
      <c r="C127">
        <v>9</v>
      </c>
      <c r="G127" s="5" t="s">
        <v>51</v>
      </c>
      <c r="H127" s="3">
        <v>2007</v>
      </c>
      <c r="I127" s="5" t="str">
        <f t="shared" si="7"/>
        <v>del202007</v>
      </c>
      <c r="J127">
        <v>0.70130000000000003</v>
      </c>
      <c r="K127">
        <v>9</v>
      </c>
      <c r="L127">
        <f t="shared" si="13"/>
        <v>5.4960999999999984</v>
      </c>
      <c r="M127">
        <v>5.4960999999999984</v>
      </c>
    </row>
    <row r="128" spans="1:13" x14ac:dyDescent="0.2">
      <c r="A128" s="3">
        <v>2005</v>
      </c>
      <c r="B128">
        <v>0.56254999999999999</v>
      </c>
      <c r="C128">
        <v>9</v>
      </c>
      <c r="G128" s="5" t="s">
        <v>51</v>
      </c>
      <c r="H128" s="3">
        <v>2008</v>
      </c>
      <c r="I128" s="5" t="str">
        <f t="shared" si="7"/>
        <v>del202008</v>
      </c>
      <c r="J128">
        <v>0.51205000000000001</v>
      </c>
      <c r="K128">
        <v>9</v>
      </c>
      <c r="L128">
        <f t="shared" si="13"/>
        <v>6.0081499999999988</v>
      </c>
      <c r="M128">
        <v>6.0081499999999988</v>
      </c>
    </row>
    <row r="129" spans="1:13" x14ac:dyDescent="0.2">
      <c r="A129" s="3">
        <v>2006</v>
      </c>
      <c r="B129">
        <v>0.57264999999999999</v>
      </c>
      <c r="C129">
        <v>9</v>
      </c>
      <c r="G129" s="5" t="s">
        <v>51</v>
      </c>
      <c r="H129" s="3">
        <v>2009</v>
      </c>
      <c r="I129" s="5" t="str">
        <f t="shared" si="7"/>
        <v>del202009</v>
      </c>
      <c r="J129">
        <v>0.54995000000000005</v>
      </c>
      <c r="K129">
        <v>9</v>
      </c>
      <c r="L129">
        <f t="shared" si="13"/>
        <v>6.5580999999999987</v>
      </c>
      <c r="M129">
        <v>6.5580999999999987</v>
      </c>
    </row>
    <row r="130" spans="1:13" x14ac:dyDescent="0.2">
      <c r="A130" s="3">
        <v>2007</v>
      </c>
      <c r="B130">
        <v>0.70130000000000003</v>
      </c>
      <c r="C130">
        <v>9</v>
      </c>
      <c r="G130" s="5" t="s">
        <v>51</v>
      </c>
      <c r="H130" s="3">
        <v>2010</v>
      </c>
      <c r="I130" s="5" t="str">
        <f t="shared" ref="I130:I193" si="14">CONCATENATE(G130,H130)</f>
        <v>del202010</v>
      </c>
      <c r="J130">
        <v>0.73160000000000003</v>
      </c>
      <c r="K130">
        <v>9</v>
      </c>
      <c r="L130">
        <f t="shared" si="13"/>
        <v>7.289699999999999</v>
      </c>
      <c r="M130">
        <v>7.289699999999999</v>
      </c>
    </row>
    <row r="131" spans="1:13" x14ac:dyDescent="0.2">
      <c r="A131" s="3">
        <v>2008</v>
      </c>
      <c r="B131">
        <v>0.51205000000000001</v>
      </c>
      <c r="C131">
        <v>9</v>
      </c>
      <c r="G131" s="5" t="s">
        <v>51</v>
      </c>
      <c r="H131" s="3">
        <v>2011</v>
      </c>
      <c r="I131" s="5" t="str">
        <f t="shared" si="14"/>
        <v>del202011</v>
      </c>
      <c r="J131">
        <v>0.75425000000000009</v>
      </c>
      <c r="K131">
        <v>9</v>
      </c>
      <c r="L131">
        <f>L132-J132</f>
        <v>8.0439499999999988</v>
      </c>
      <c r="M131">
        <v>8.0439499999999988</v>
      </c>
    </row>
    <row r="132" spans="1:13" x14ac:dyDescent="0.2">
      <c r="A132" s="3">
        <v>2009</v>
      </c>
      <c r="B132">
        <v>0.54995000000000005</v>
      </c>
      <c r="C132">
        <v>9</v>
      </c>
      <c r="G132" s="5" t="s">
        <v>51</v>
      </c>
      <c r="H132" s="3">
        <v>2012</v>
      </c>
      <c r="I132" s="5" t="str">
        <f t="shared" si="14"/>
        <v>del202012</v>
      </c>
      <c r="J132">
        <v>0.47675000000000001</v>
      </c>
      <c r="K132">
        <v>9</v>
      </c>
      <c r="L132">
        <f>K132-J133</f>
        <v>8.5206999999999997</v>
      </c>
      <c r="M132">
        <v>8.5206999999999997</v>
      </c>
    </row>
    <row r="133" spans="1:13" x14ac:dyDescent="0.2">
      <c r="A133" s="3">
        <v>2010</v>
      </c>
      <c r="B133">
        <v>0.73160000000000003</v>
      </c>
      <c r="C133">
        <v>9</v>
      </c>
      <c r="G133" s="5" t="s">
        <v>51</v>
      </c>
      <c r="H133" s="3">
        <v>2013</v>
      </c>
      <c r="I133" s="5" t="str">
        <f t="shared" si="14"/>
        <v>del202013</v>
      </c>
      <c r="J133">
        <v>0.47930000000000006</v>
      </c>
      <c r="K133">
        <v>9</v>
      </c>
      <c r="M133">
        <v>9</v>
      </c>
    </row>
    <row r="134" spans="1:13" x14ac:dyDescent="0.2">
      <c r="A134" s="3">
        <v>2011</v>
      </c>
      <c r="B134">
        <v>0.75425000000000009</v>
      </c>
      <c r="C134">
        <v>9</v>
      </c>
      <c r="H134" s="5" t="s">
        <v>54</v>
      </c>
      <c r="I134" s="5" t="str">
        <f t="shared" si="14"/>
        <v>dib01</v>
      </c>
      <c r="J134" s="6">
        <v>0.51876071428571435</v>
      </c>
      <c r="K134" s="6">
        <v>15</v>
      </c>
      <c r="M134">
        <v>15</v>
      </c>
    </row>
    <row r="135" spans="1:13" x14ac:dyDescent="0.2">
      <c r="A135" s="3">
        <v>2012</v>
      </c>
      <c r="B135">
        <v>0.47675000000000001</v>
      </c>
      <c r="C135">
        <v>9</v>
      </c>
      <c r="G135" s="5" t="s">
        <v>54</v>
      </c>
      <c r="H135" s="3">
        <v>2000</v>
      </c>
      <c r="I135" s="5" t="str">
        <f t="shared" si="14"/>
        <v>dib012000</v>
      </c>
      <c r="J135">
        <v>0.56254999999999999</v>
      </c>
      <c r="K135">
        <v>15</v>
      </c>
      <c r="L135">
        <f t="shared" ref="L135:L145" si="15">L136-J136</f>
        <v>8.2998999999999992</v>
      </c>
      <c r="M135">
        <v>8.2998999999999992</v>
      </c>
    </row>
    <row r="136" spans="1:13" x14ac:dyDescent="0.2">
      <c r="A136" s="3">
        <v>2013</v>
      </c>
      <c r="B136">
        <v>0.47930000000000006</v>
      </c>
      <c r="C136">
        <v>9</v>
      </c>
      <c r="G136" s="5" t="s">
        <v>54</v>
      </c>
      <c r="H136" s="3">
        <v>2001</v>
      </c>
      <c r="I136" s="5" t="str">
        <f t="shared" si="14"/>
        <v>dib012001</v>
      </c>
      <c r="J136">
        <v>0.44905000000000006</v>
      </c>
      <c r="K136">
        <v>15</v>
      </c>
      <c r="L136">
        <f t="shared" si="15"/>
        <v>8.7489499999999989</v>
      </c>
      <c r="M136">
        <v>8.7489499999999989</v>
      </c>
    </row>
    <row r="137" spans="1:13" x14ac:dyDescent="0.2">
      <c r="A137" s="2" t="s">
        <v>54</v>
      </c>
      <c r="B137">
        <v>0.51876071428571435</v>
      </c>
      <c r="C137">
        <v>15</v>
      </c>
      <c r="G137" s="5" t="s">
        <v>54</v>
      </c>
      <c r="H137" s="3">
        <v>2002</v>
      </c>
      <c r="I137" s="5" t="str">
        <f t="shared" si="14"/>
        <v>dib012002</v>
      </c>
      <c r="J137">
        <v>0.33550000000000002</v>
      </c>
      <c r="K137">
        <v>15</v>
      </c>
      <c r="L137">
        <f t="shared" si="15"/>
        <v>9.0844499999999986</v>
      </c>
      <c r="M137">
        <v>9.0844499999999986</v>
      </c>
    </row>
    <row r="138" spans="1:13" x14ac:dyDescent="0.2">
      <c r="A138" s="3">
        <v>2000</v>
      </c>
      <c r="B138">
        <v>0.56254999999999999</v>
      </c>
      <c r="C138">
        <v>15</v>
      </c>
      <c r="G138" s="5" t="s">
        <v>54</v>
      </c>
      <c r="H138" s="3">
        <v>2003</v>
      </c>
      <c r="I138" s="5" t="str">
        <f t="shared" si="14"/>
        <v>dib012003</v>
      </c>
      <c r="J138">
        <v>0.56005000000000005</v>
      </c>
      <c r="K138">
        <v>15</v>
      </c>
      <c r="L138">
        <f t="shared" si="15"/>
        <v>9.644499999999999</v>
      </c>
      <c r="M138">
        <v>9.644499999999999</v>
      </c>
    </row>
    <row r="139" spans="1:13" x14ac:dyDescent="0.2">
      <c r="A139" s="3">
        <v>2001</v>
      </c>
      <c r="B139">
        <v>0.44905000000000006</v>
      </c>
      <c r="C139">
        <v>15</v>
      </c>
      <c r="G139" s="5" t="s">
        <v>54</v>
      </c>
      <c r="H139" s="3">
        <v>2004</v>
      </c>
      <c r="I139" s="5" t="str">
        <f t="shared" si="14"/>
        <v>dib012004</v>
      </c>
      <c r="J139">
        <v>0.41370000000000001</v>
      </c>
      <c r="K139">
        <v>15</v>
      </c>
      <c r="L139">
        <f t="shared" si="15"/>
        <v>10.058199999999999</v>
      </c>
      <c r="M139">
        <v>10.058199999999999</v>
      </c>
    </row>
    <row r="140" spans="1:13" x14ac:dyDescent="0.2">
      <c r="A140" s="3">
        <v>2002</v>
      </c>
      <c r="B140">
        <v>0.33550000000000002</v>
      </c>
      <c r="C140">
        <v>15</v>
      </c>
      <c r="G140" s="5" t="s">
        <v>54</v>
      </c>
      <c r="H140" s="3">
        <v>2005</v>
      </c>
      <c r="I140" s="5" t="str">
        <f t="shared" si="14"/>
        <v>dib012005</v>
      </c>
      <c r="J140">
        <v>0.37335000000000002</v>
      </c>
      <c r="K140">
        <v>15</v>
      </c>
      <c r="L140">
        <f t="shared" si="15"/>
        <v>10.43155</v>
      </c>
      <c r="M140">
        <v>10.43155</v>
      </c>
    </row>
    <row r="141" spans="1:13" x14ac:dyDescent="0.2">
      <c r="A141" s="3">
        <v>2003</v>
      </c>
      <c r="B141">
        <v>0.56005000000000005</v>
      </c>
      <c r="C141">
        <v>15</v>
      </c>
      <c r="G141" s="5" t="s">
        <v>54</v>
      </c>
      <c r="H141" s="3">
        <v>2006</v>
      </c>
      <c r="I141" s="5" t="str">
        <f t="shared" si="14"/>
        <v>dib012006</v>
      </c>
      <c r="J141">
        <v>0.50450000000000006</v>
      </c>
      <c r="K141">
        <v>15</v>
      </c>
      <c r="L141">
        <f t="shared" si="15"/>
        <v>10.93605</v>
      </c>
      <c r="M141">
        <v>10.93605</v>
      </c>
    </row>
    <row r="142" spans="1:13" x14ac:dyDescent="0.2">
      <c r="A142" s="3">
        <v>2004</v>
      </c>
      <c r="B142">
        <v>0.41370000000000001</v>
      </c>
      <c r="C142">
        <v>15</v>
      </c>
      <c r="G142" s="5" t="s">
        <v>54</v>
      </c>
      <c r="H142" s="3">
        <v>2007</v>
      </c>
      <c r="I142" s="5" t="str">
        <f t="shared" si="14"/>
        <v>dib012007</v>
      </c>
      <c r="J142">
        <v>0.36070000000000002</v>
      </c>
      <c r="K142">
        <v>15</v>
      </c>
      <c r="L142">
        <f t="shared" si="15"/>
        <v>11.296749999999999</v>
      </c>
      <c r="M142">
        <v>11.296749999999999</v>
      </c>
    </row>
    <row r="143" spans="1:13" x14ac:dyDescent="0.2">
      <c r="A143" s="3">
        <v>2005</v>
      </c>
      <c r="B143">
        <v>0.37335000000000002</v>
      </c>
      <c r="C143">
        <v>15</v>
      </c>
      <c r="G143" s="5" t="s">
        <v>54</v>
      </c>
      <c r="H143" s="3">
        <v>2008</v>
      </c>
      <c r="I143" s="5" t="str">
        <f t="shared" si="14"/>
        <v>dib012008</v>
      </c>
      <c r="J143">
        <v>0.51970000000000005</v>
      </c>
      <c r="K143">
        <v>15</v>
      </c>
      <c r="L143">
        <f t="shared" si="15"/>
        <v>11.81645</v>
      </c>
      <c r="M143">
        <v>11.81645</v>
      </c>
    </row>
    <row r="144" spans="1:13" x14ac:dyDescent="0.2">
      <c r="A144" s="3">
        <v>2006</v>
      </c>
      <c r="B144">
        <v>0.50450000000000006</v>
      </c>
      <c r="C144">
        <v>15</v>
      </c>
      <c r="G144" s="5" t="s">
        <v>54</v>
      </c>
      <c r="H144" s="3">
        <v>2009</v>
      </c>
      <c r="I144" s="5" t="str">
        <f t="shared" si="14"/>
        <v>dib012009</v>
      </c>
      <c r="J144">
        <v>0.55500000000000005</v>
      </c>
      <c r="K144">
        <v>15</v>
      </c>
      <c r="L144">
        <f t="shared" si="15"/>
        <v>12.371449999999999</v>
      </c>
      <c r="M144">
        <v>12.371449999999999</v>
      </c>
    </row>
    <row r="145" spans="1:13" x14ac:dyDescent="0.2">
      <c r="A145" s="3">
        <v>2007</v>
      </c>
      <c r="B145">
        <v>0.36070000000000002</v>
      </c>
      <c r="C145">
        <v>15</v>
      </c>
      <c r="G145" s="5" t="s">
        <v>54</v>
      </c>
      <c r="H145" s="3">
        <v>2010</v>
      </c>
      <c r="I145" s="5" t="str">
        <f t="shared" si="14"/>
        <v>dib012010</v>
      </c>
      <c r="J145">
        <v>0.52214999999999989</v>
      </c>
      <c r="K145">
        <v>15</v>
      </c>
      <c r="L145">
        <f t="shared" si="15"/>
        <v>12.893599999999999</v>
      </c>
      <c r="M145">
        <v>12.893599999999999</v>
      </c>
    </row>
    <row r="146" spans="1:13" x14ac:dyDescent="0.2">
      <c r="A146" s="3">
        <v>2008</v>
      </c>
      <c r="B146">
        <v>0.51970000000000005</v>
      </c>
      <c r="C146">
        <v>15</v>
      </c>
      <c r="G146" s="5" t="s">
        <v>54</v>
      </c>
      <c r="H146" s="3">
        <v>2011</v>
      </c>
      <c r="I146" s="5" t="str">
        <f t="shared" si="14"/>
        <v>dib012011</v>
      </c>
      <c r="J146">
        <v>0.5272</v>
      </c>
      <c r="K146">
        <v>15</v>
      </c>
      <c r="L146">
        <f>L147-J147</f>
        <v>13.4208</v>
      </c>
      <c r="M146">
        <v>13.4208</v>
      </c>
    </row>
    <row r="147" spans="1:13" x14ac:dyDescent="0.2">
      <c r="A147" s="3">
        <v>2009</v>
      </c>
      <c r="B147">
        <v>0.55500000000000005</v>
      </c>
      <c r="C147">
        <v>15</v>
      </c>
      <c r="G147" s="5" t="s">
        <v>54</v>
      </c>
      <c r="H147" s="3">
        <v>2012</v>
      </c>
      <c r="I147" s="5" t="str">
        <f t="shared" si="14"/>
        <v>dib012012</v>
      </c>
      <c r="J147">
        <v>1.0242</v>
      </c>
      <c r="K147">
        <v>15</v>
      </c>
      <c r="L147">
        <f>K147-J148</f>
        <v>14.445</v>
      </c>
      <c r="M147">
        <v>14.445</v>
      </c>
    </row>
    <row r="148" spans="1:13" x14ac:dyDescent="0.2">
      <c r="A148" s="3">
        <v>2010</v>
      </c>
      <c r="B148">
        <v>0.52214999999999989</v>
      </c>
      <c r="C148">
        <v>15</v>
      </c>
      <c r="G148" s="5" t="s">
        <v>54</v>
      </c>
      <c r="H148" s="3">
        <v>2013</v>
      </c>
      <c r="I148" s="5" t="str">
        <f t="shared" si="14"/>
        <v>dib012013</v>
      </c>
      <c r="J148">
        <v>0.55500000000000005</v>
      </c>
      <c r="K148">
        <v>15</v>
      </c>
      <c r="M148">
        <v>15</v>
      </c>
    </row>
    <row r="149" spans="1:13" x14ac:dyDescent="0.2">
      <c r="A149" s="3">
        <v>2011</v>
      </c>
      <c r="B149">
        <v>0.5272</v>
      </c>
      <c r="C149">
        <v>15</v>
      </c>
      <c r="H149" s="5" t="s">
        <v>58</v>
      </c>
      <c r="I149" s="5" t="str">
        <f t="shared" si="14"/>
        <v>dib02</v>
      </c>
      <c r="J149" s="6">
        <v>0.54718181818181832</v>
      </c>
      <c r="K149" s="6">
        <v>7</v>
      </c>
      <c r="M149">
        <v>7</v>
      </c>
    </row>
    <row r="150" spans="1:13" x14ac:dyDescent="0.2">
      <c r="A150" s="3">
        <v>2012</v>
      </c>
      <c r="B150">
        <v>1.0242</v>
      </c>
      <c r="C150">
        <v>15</v>
      </c>
      <c r="G150" s="5" t="s">
        <v>58</v>
      </c>
      <c r="H150" s="3">
        <v>2003</v>
      </c>
      <c r="I150" s="5" t="str">
        <f t="shared" si="14"/>
        <v>dib022003</v>
      </c>
      <c r="J150">
        <v>0.47675000000000001</v>
      </c>
      <c r="K150">
        <v>7</v>
      </c>
      <c r="L150">
        <f t="shared" ref="L150:L157" si="16">L151-J151</f>
        <v>1.4577499999999999</v>
      </c>
      <c r="M150">
        <v>1.4577499999999999</v>
      </c>
    </row>
    <row r="151" spans="1:13" x14ac:dyDescent="0.2">
      <c r="A151" s="3">
        <v>2013</v>
      </c>
      <c r="B151">
        <v>0.55500000000000005</v>
      </c>
      <c r="C151">
        <v>15</v>
      </c>
      <c r="G151" s="5" t="s">
        <v>58</v>
      </c>
      <c r="H151" s="3">
        <v>2004</v>
      </c>
      <c r="I151" s="5" t="str">
        <f t="shared" si="14"/>
        <v>dib022004</v>
      </c>
      <c r="J151">
        <v>0.4768</v>
      </c>
      <c r="K151">
        <v>7</v>
      </c>
      <c r="L151">
        <f t="shared" si="16"/>
        <v>1.93455</v>
      </c>
      <c r="M151">
        <v>1.93455</v>
      </c>
    </row>
    <row r="152" spans="1:13" x14ac:dyDescent="0.2">
      <c r="A152" s="2" t="s">
        <v>58</v>
      </c>
      <c r="B152">
        <v>0.54718181818181832</v>
      </c>
      <c r="C152">
        <v>7</v>
      </c>
      <c r="G152" s="5" t="s">
        <v>58</v>
      </c>
      <c r="H152" s="3">
        <v>2005</v>
      </c>
      <c r="I152" s="5" t="str">
        <f t="shared" si="14"/>
        <v>dib022005</v>
      </c>
      <c r="J152">
        <v>0.62054999999999993</v>
      </c>
      <c r="K152">
        <v>7</v>
      </c>
      <c r="L152">
        <f t="shared" si="16"/>
        <v>2.5550999999999999</v>
      </c>
      <c r="M152">
        <v>2.5550999999999999</v>
      </c>
    </row>
    <row r="153" spans="1:13" x14ac:dyDescent="0.2">
      <c r="A153" s="3">
        <v>2003</v>
      </c>
      <c r="B153">
        <v>0.47675000000000001</v>
      </c>
      <c r="C153">
        <v>7</v>
      </c>
      <c r="G153" s="5" t="s">
        <v>58</v>
      </c>
      <c r="H153" s="3">
        <v>2006</v>
      </c>
      <c r="I153" s="5" t="str">
        <f t="shared" si="14"/>
        <v>dib022006</v>
      </c>
      <c r="J153">
        <v>0.74924999999999997</v>
      </c>
      <c r="K153">
        <v>7</v>
      </c>
      <c r="L153">
        <f t="shared" si="16"/>
        <v>3.3043499999999999</v>
      </c>
      <c r="M153">
        <v>3.3043499999999999</v>
      </c>
    </row>
    <row r="154" spans="1:13" x14ac:dyDescent="0.2">
      <c r="A154" s="3">
        <v>2004</v>
      </c>
      <c r="B154">
        <v>0.4768</v>
      </c>
      <c r="C154">
        <v>7</v>
      </c>
      <c r="G154" s="5" t="s">
        <v>58</v>
      </c>
      <c r="H154" s="3">
        <v>2007</v>
      </c>
      <c r="I154" s="5" t="str">
        <f t="shared" si="14"/>
        <v>dib022007</v>
      </c>
      <c r="J154">
        <v>0.62304999999999999</v>
      </c>
      <c r="K154">
        <v>7</v>
      </c>
      <c r="L154">
        <f t="shared" si="16"/>
        <v>3.9274</v>
      </c>
      <c r="M154">
        <v>3.9274</v>
      </c>
    </row>
    <row r="155" spans="1:13" x14ac:dyDescent="0.2">
      <c r="A155" s="3">
        <v>2005</v>
      </c>
      <c r="B155">
        <v>0.62054999999999993</v>
      </c>
      <c r="C155">
        <v>7</v>
      </c>
      <c r="G155" s="5" t="s">
        <v>58</v>
      </c>
      <c r="H155" s="3">
        <v>2008</v>
      </c>
      <c r="I155" s="5" t="str">
        <f t="shared" si="14"/>
        <v>dib022008</v>
      </c>
      <c r="J155">
        <v>0.54744999999999999</v>
      </c>
      <c r="K155">
        <v>7</v>
      </c>
      <c r="L155">
        <f t="shared" si="16"/>
        <v>4.47485</v>
      </c>
      <c r="M155">
        <v>4.47485</v>
      </c>
    </row>
    <row r="156" spans="1:13" x14ac:dyDescent="0.2">
      <c r="A156" s="3">
        <v>2006</v>
      </c>
      <c r="B156">
        <v>0.74924999999999997</v>
      </c>
      <c r="C156">
        <v>7</v>
      </c>
      <c r="G156" s="5" t="s">
        <v>58</v>
      </c>
      <c r="H156" s="3">
        <v>2009</v>
      </c>
      <c r="I156" s="5" t="str">
        <f t="shared" si="14"/>
        <v>dib022009</v>
      </c>
      <c r="J156">
        <v>0.70379999999999998</v>
      </c>
      <c r="K156">
        <v>7</v>
      </c>
      <c r="L156">
        <f t="shared" si="16"/>
        <v>5.1786500000000002</v>
      </c>
      <c r="M156">
        <v>5.1786500000000002</v>
      </c>
    </row>
    <row r="157" spans="1:13" x14ac:dyDescent="0.2">
      <c r="A157" s="3">
        <v>2007</v>
      </c>
      <c r="B157">
        <v>0.62304999999999999</v>
      </c>
      <c r="C157">
        <v>7</v>
      </c>
      <c r="G157" s="5" t="s">
        <v>58</v>
      </c>
      <c r="H157" s="3">
        <v>2010</v>
      </c>
      <c r="I157" s="5" t="str">
        <f t="shared" si="14"/>
        <v>dib022010</v>
      </c>
      <c r="J157">
        <v>0.65334999999999999</v>
      </c>
      <c r="K157">
        <v>7</v>
      </c>
      <c r="L157">
        <f t="shared" si="16"/>
        <v>5.8319999999999999</v>
      </c>
      <c r="M157">
        <v>5.8319999999999999</v>
      </c>
    </row>
    <row r="158" spans="1:13" x14ac:dyDescent="0.2">
      <c r="A158" s="3">
        <v>2008</v>
      </c>
      <c r="B158">
        <v>0.54744999999999999</v>
      </c>
      <c r="C158">
        <v>7</v>
      </c>
      <c r="G158" s="5" t="s">
        <v>58</v>
      </c>
      <c r="H158" s="3">
        <v>2011</v>
      </c>
      <c r="I158" s="5" t="str">
        <f t="shared" si="14"/>
        <v>dib022011</v>
      </c>
      <c r="J158">
        <v>0.52470000000000006</v>
      </c>
      <c r="K158">
        <v>7</v>
      </c>
      <c r="L158">
        <f>L159-J159</f>
        <v>6.3567</v>
      </c>
      <c r="M158">
        <v>6.3567</v>
      </c>
    </row>
    <row r="159" spans="1:13" x14ac:dyDescent="0.2">
      <c r="A159" s="3">
        <v>2009</v>
      </c>
      <c r="B159">
        <v>0.70379999999999998</v>
      </c>
      <c r="C159">
        <v>7</v>
      </c>
      <c r="G159" s="5" t="s">
        <v>58</v>
      </c>
      <c r="H159" s="3">
        <v>2012</v>
      </c>
      <c r="I159" s="5" t="str">
        <f t="shared" si="14"/>
        <v>dib022012</v>
      </c>
      <c r="J159">
        <v>0.36580000000000001</v>
      </c>
      <c r="K159">
        <v>7</v>
      </c>
      <c r="L159">
        <f>K159-J160</f>
        <v>6.7225000000000001</v>
      </c>
      <c r="M159">
        <v>6.7225000000000001</v>
      </c>
    </row>
    <row r="160" spans="1:13" x14ac:dyDescent="0.2">
      <c r="A160" s="3">
        <v>2010</v>
      </c>
      <c r="B160">
        <v>0.65334999999999999</v>
      </c>
      <c r="C160">
        <v>7</v>
      </c>
      <c r="G160" s="5" t="s">
        <v>58</v>
      </c>
      <c r="H160" s="3">
        <v>2013</v>
      </c>
      <c r="I160" s="5" t="str">
        <f t="shared" si="14"/>
        <v>dib022013</v>
      </c>
      <c r="J160">
        <v>0.27750000000000002</v>
      </c>
      <c r="K160">
        <v>7</v>
      </c>
      <c r="M160">
        <v>7</v>
      </c>
    </row>
    <row r="161" spans="1:13" x14ac:dyDescent="0.2">
      <c r="A161" s="3">
        <v>2011</v>
      </c>
      <c r="B161">
        <v>0.52470000000000006</v>
      </c>
      <c r="C161">
        <v>7</v>
      </c>
      <c r="H161" s="5" t="s">
        <v>61</v>
      </c>
      <c r="I161" s="5" t="str">
        <f t="shared" si="14"/>
        <v>dib03</v>
      </c>
      <c r="J161" s="6">
        <v>0.64775555555555564</v>
      </c>
      <c r="K161" s="6">
        <v>8</v>
      </c>
      <c r="M161">
        <v>8</v>
      </c>
    </row>
    <row r="162" spans="1:13" x14ac:dyDescent="0.2">
      <c r="A162" s="3">
        <v>2012</v>
      </c>
      <c r="B162">
        <v>0.36580000000000001</v>
      </c>
      <c r="C162">
        <v>7</v>
      </c>
      <c r="G162" s="5" t="s">
        <v>61</v>
      </c>
      <c r="H162" s="3">
        <v>2005</v>
      </c>
      <c r="I162" s="5" t="str">
        <f t="shared" si="14"/>
        <v>dib032005</v>
      </c>
      <c r="J162">
        <v>0.69369999999999998</v>
      </c>
      <c r="K162">
        <v>8</v>
      </c>
      <c r="L162">
        <f t="shared" ref="L162:L167" si="17">L163-J163</f>
        <v>2.8638999999999992</v>
      </c>
      <c r="M162">
        <v>2.8638999999999992</v>
      </c>
    </row>
    <row r="163" spans="1:13" x14ac:dyDescent="0.2">
      <c r="A163" s="3">
        <v>2013</v>
      </c>
      <c r="B163">
        <v>0.27750000000000002</v>
      </c>
      <c r="C163">
        <v>7</v>
      </c>
      <c r="G163" s="5" t="s">
        <v>61</v>
      </c>
      <c r="H163" s="3">
        <v>2006</v>
      </c>
      <c r="I163" s="5" t="str">
        <f t="shared" si="14"/>
        <v>dib032006</v>
      </c>
      <c r="J163">
        <v>0.44655</v>
      </c>
      <c r="K163">
        <v>8</v>
      </c>
      <c r="L163">
        <f t="shared" si="17"/>
        <v>3.310449999999999</v>
      </c>
      <c r="M163">
        <v>3.310449999999999</v>
      </c>
    </row>
    <row r="164" spans="1:13" x14ac:dyDescent="0.2">
      <c r="A164" s="2" t="s">
        <v>61</v>
      </c>
      <c r="B164">
        <v>0.64775555555555564</v>
      </c>
      <c r="C164">
        <v>8</v>
      </c>
      <c r="G164" s="5" t="s">
        <v>61</v>
      </c>
      <c r="H164" s="3">
        <v>2007</v>
      </c>
      <c r="I164" s="5" t="str">
        <f t="shared" si="14"/>
        <v>dib032007</v>
      </c>
      <c r="J164">
        <v>0.71890000000000009</v>
      </c>
      <c r="K164">
        <v>8</v>
      </c>
      <c r="L164">
        <f t="shared" si="17"/>
        <v>4.0293499999999991</v>
      </c>
      <c r="M164">
        <v>4.0293499999999991</v>
      </c>
    </row>
    <row r="165" spans="1:13" x14ac:dyDescent="0.2">
      <c r="A165" s="3">
        <v>2005</v>
      </c>
      <c r="B165">
        <v>0.69369999999999998</v>
      </c>
      <c r="C165">
        <v>8</v>
      </c>
      <c r="G165" s="5" t="s">
        <v>61</v>
      </c>
      <c r="H165" s="3">
        <v>2008</v>
      </c>
      <c r="I165" s="5" t="str">
        <f t="shared" si="14"/>
        <v>dib032008</v>
      </c>
      <c r="J165">
        <v>0.6483000000000001</v>
      </c>
      <c r="K165">
        <v>8</v>
      </c>
      <c r="L165">
        <f t="shared" si="17"/>
        <v>4.677649999999999</v>
      </c>
      <c r="M165">
        <v>4.677649999999999</v>
      </c>
    </row>
    <row r="166" spans="1:13" x14ac:dyDescent="0.2">
      <c r="A166" s="3">
        <v>2006</v>
      </c>
      <c r="B166">
        <v>0.44655</v>
      </c>
      <c r="C166">
        <v>8</v>
      </c>
      <c r="G166" s="5" t="s">
        <v>61</v>
      </c>
      <c r="H166" s="3">
        <v>2009</v>
      </c>
      <c r="I166" s="5" t="str">
        <f t="shared" si="14"/>
        <v>dib032009</v>
      </c>
      <c r="J166">
        <v>0.4667</v>
      </c>
      <c r="K166">
        <v>8</v>
      </c>
      <c r="L166">
        <f t="shared" si="17"/>
        <v>5.1443499999999993</v>
      </c>
      <c r="M166">
        <v>5.1443499999999993</v>
      </c>
    </row>
    <row r="167" spans="1:13" x14ac:dyDescent="0.2">
      <c r="A167" s="3">
        <v>2007</v>
      </c>
      <c r="B167">
        <v>0.71890000000000009</v>
      </c>
      <c r="C167">
        <v>8</v>
      </c>
      <c r="G167" s="5" t="s">
        <v>61</v>
      </c>
      <c r="H167" s="3">
        <v>2010</v>
      </c>
      <c r="I167" s="5" t="str">
        <f t="shared" si="14"/>
        <v>dib032010</v>
      </c>
      <c r="J167">
        <v>0.82235000000000003</v>
      </c>
      <c r="K167">
        <v>8</v>
      </c>
      <c r="L167">
        <f t="shared" si="17"/>
        <v>5.9666999999999994</v>
      </c>
      <c r="M167">
        <v>5.9666999999999994</v>
      </c>
    </row>
    <row r="168" spans="1:13" x14ac:dyDescent="0.2">
      <c r="A168" s="3">
        <v>2008</v>
      </c>
      <c r="B168">
        <v>0.6483000000000001</v>
      </c>
      <c r="C168">
        <v>8</v>
      </c>
      <c r="G168" s="5" t="s">
        <v>61</v>
      </c>
      <c r="H168" s="3">
        <v>2011</v>
      </c>
      <c r="I168" s="5" t="str">
        <f t="shared" si="14"/>
        <v>dib032011</v>
      </c>
      <c r="J168">
        <v>0.78459999999999996</v>
      </c>
      <c r="K168">
        <v>8</v>
      </c>
      <c r="L168">
        <f>L169-J169</f>
        <v>6.7512999999999996</v>
      </c>
      <c r="M168">
        <v>6.7512999999999996</v>
      </c>
    </row>
    <row r="169" spans="1:13" x14ac:dyDescent="0.2">
      <c r="A169" s="3">
        <v>2009</v>
      </c>
      <c r="B169">
        <v>0.4667</v>
      </c>
      <c r="C169">
        <v>8</v>
      </c>
      <c r="G169" s="5" t="s">
        <v>61</v>
      </c>
      <c r="H169" s="3">
        <v>2012</v>
      </c>
      <c r="I169" s="5" t="str">
        <f t="shared" si="14"/>
        <v>dib032012</v>
      </c>
      <c r="J169">
        <v>0.82240000000000002</v>
      </c>
      <c r="K169">
        <v>8</v>
      </c>
      <c r="L169">
        <f>K169-J170</f>
        <v>7.5736999999999997</v>
      </c>
      <c r="M169">
        <v>7.5736999999999997</v>
      </c>
    </row>
    <row r="170" spans="1:13" x14ac:dyDescent="0.2">
      <c r="A170" s="3">
        <v>2010</v>
      </c>
      <c r="B170">
        <v>0.82235000000000003</v>
      </c>
      <c r="C170">
        <v>8</v>
      </c>
      <c r="G170" s="5" t="s">
        <v>61</v>
      </c>
      <c r="H170" s="3">
        <v>2013</v>
      </c>
      <c r="I170" s="5" t="str">
        <f t="shared" si="14"/>
        <v>dib032013</v>
      </c>
      <c r="J170">
        <v>0.42630000000000001</v>
      </c>
      <c r="K170">
        <v>8</v>
      </c>
      <c r="M170">
        <v>8</v>
      </c>
    </row>
    <row r="171" spans="1:13" x14ac:dyDescent="0.2">
      <c r="A171" s="3">
        <v>2011</v>
      </c>
      <c r="B171">
        <v>0.78459999999999996</v>
      </c>
      <c r="C171">
        <v>8</v>
      </c>
      <c r="H171" s="5" t="s">
        <v>64</v>
      </c>
      <c r="I171" s="5" t="str">
        <f t="shared" si="14"/>
        <v>dib04</v>
      </c>
      <c r="J171" s="6">
        <v>0.68939642857142847</v>
      </c>
      <c r="K171" s="6">
        <v>14</v>
      </c>
      <c r="M171">
        <v>14</v>
      </c>
    </row>
    <row r="172" spans="1:13" x14ac:dyDescent="0.2">
      <c r="A172" s="3">
        <v>2012</v>
      </c>
      <c r="B172">
        <v>0.82240000000000002</v>
      </c>
      <c r="C172">
        <v>8</v>
      </c>
      <c r="G172" s="5" t="s">
        <v>64</v>
      </c>
      <c r="H172" s="3">
        <v>2000</v>
      </c>
      <c r="I172" s="5" t="str">
        <f t="shared" si="14"/>
        <v>dib042000</v>
      </c>
      <c r="J172">
        <v>0.95855000000000001</v>
      </c>
      <c r="K172">
        <v>14</v>
      </c>
      <c r="L172">
        <f t="shared" ref="L172:L182" si="18">L173-J173</f>
        <v>5.3069999999999986</v>
      </c>
      <c r="M172">
        <v>5.3069999999999986</v>
      </c>
    </row>
    <row r="173" spans="1:13" x14ac:dyDescent="0.2">
      <c r="A173" s="3">
        <v>2013</v>
      </c>
      <c r="B173">
        <v>0.42630000000000001</v>
      </c>
      <c r="C173">
        <v>8</v>
      </c>
      <c r="G173" s="5" t="s">
        <v>64</v>
      </c>
      <c r="H173" s="3">
        <v>2001</v>
      </c>
      <c r="I173" s="5" t="str">
        <f t="shared" si="14"/>
        <v>dib042001</v>
      </c>
      <c r="J173">
        <v>0.83255000000000001</v>
      </c>
      <c r="K173">
        <v>14</v>
      </c>
      <c r="L173">
        <f t="shared" si="18"/>
        <v>6.139549999999999</v>
      </c>
      <c r="M173">
        <v>6.139549999999999</v>
      </c>
    </row>
    <row r="174" spans="1:13" x14ac:dyDescent="0.2">
      <c r="A174" s="2" t="s">
        <v>64</v>
      </c>
      <c r="B174">
        <v>0.68939642857142847</v>
      </c>
      <c r="C174">
        <v>14</v>
      </c>
      <c r="G174" s="5" t="s">
        <v>64</v>
      </c>
      <c r="H174" s="3">
        <v>2002</v>
      </c>
      <c r="I174" s="5" t="str">
        <f t="shared" si="14"/>
        <v>dib042002</v>
      </c>
      <c r="J174">
        <v>0.79710000000000003</v>
      </c>
      <c r="K174">
        <v>14</v>
      </c>
      <c r="L174">
        <f t="shared" si="18"/>
        <v>6.9366499999999993</v>
      </c>
      <c r="M174">
        <v>6.9366499999999993</v>
      </c>
    </row>
    <row r="175" spans="1:13" x14ac:dyDescent="0.2">
      <c r="A175" s="3">
        <v>2000</v>
      </c>
      <c r="B175">
        <v>0.95855000000000001</v>
      </c>
      <c r="C175">
        <v>14</v>
      </c>
      <c r="G175" s="5" t="s">
        <v>64</v>
      </c>
      <c r="H175" s="3">
        <v>2003</v>
      </c>
      <c r="I175" s="5" t="str">
        <f t="shared" si="14"/>
        <v>dib042003</v>
      </c>
      <c r="J175">
        <v>0.63314999999999999</v>
      </c>
      <c r="K175">
        <v>14</v>
      </c>
      <c r="L175">
        <f t="shared" si="18"/>
        <v>7.569799999999999</v>
      </c>
      <c r="M175">
        <v>7.569799999999999</v>
      </c>
    </row>
    <row r="176" spans="1:13" x14ac:dyDescent="0.2">
      <c r="A176" s="3">
        <v>2001</v>
      </c>
      <c r="B176">
        <v>0.83255000000000001</v>
      </c>
      <c r="C176">
        <v>14</v>
      </c>
      <c r="G176" s="5" t="s">
        <v>64</v>
      </c>
      <c r="H176" s="3">
        <v>2004</v>
      </c>
      <c r="I176" s="5" t="str">
        <f t="shared" si="14"/>
        <v>dib042004</v>
      </c>
      <c r="J176">
        <v>0.66095000000000004</v>
      </c>
      <c r="K176">
        <v>14</v>
      </c>
      <c r="L176">
        <f t="shared" si="18"/>
        <v>8.2307499999999987</v>
      </c>
      <c r="M176">
        <v>8.2307499999999987</v>
      </c>
    </row>
    <row r="177" spans="1:13" x14ac:dyDescent="0.2">
      <c r="A177" s="3">
        <v>2002</v>
      </c>
      <c r="B177">
        <v>0.79710000000000003</v>
      </c>
      <c r="C177">
        <v>14</v>
      </c>
      <c r="G177" s="5" t="s">
        <v>64</v>
      </c>
      <c r="H177" s="3">
        <v>2005</v>
      </c>
      <c r="I177" s="5" t="str">
        <f t="shared" si="14"/>
        <v>dib042005</v>
      </c>
      <c r="J177">
        <v>0.5878000000000001</v>
      </c>
      <c r="K177">
        <v>14</v>
      </c>
      <c r="L177">
        <f t="shared" si="18"/>
        <v>8.8185499999999983</v>
      </c>
      <c r="M177">
        <v>8.8185499999999983</v>
      </c>
    </row>
    <row r="178" spans="1:13" x14ac:dyDescent="0.2">
      <c r="A178" s="3">
        <v>2003</v>
      </c>
      <c r="B178">
        <v>0.63314999999999999</v>
      </c>
      <c r="C178">
        <v>14</v>
      </c>
      <c r="G178" s="5" t="s">
        <v>64</v>
      </c>
      <c r="H178" s="3">
        <v>2006</v>
      </c>
      <c r="I178" s="5" t="str">
        <f t="shared" si="14"/>
        <v>dib042006</v>
      </c>
      <c r="J178">
        <v>0.50955000000000006</v>
      </c>
      <c r="K178">
        <v>14</v>
      </c>
      <c r="L178">
        <f t="shared" si="18"/>
        <v>9.3280999999999992</v>
      </c>
      <c r="M178">
        <v>9.3280999999999992</v>
      </c>
    </row>
    <row r="179" spans="1:13" x14ac:dyDescent="0.2">
      <c r="A179" s="3">
        <v>2004</v>
      </c>
      <c r="B179">
        <v>0.66095000000000004</v>
      </c>
      <c r="C179">
        <v>14</v>
      </c>
      <c r="G179" s="5" t="s">
        <v>64</v>
      </c>
      <c r="H179" s="3">
        <v>2007</v>
      </c>
      <c r="I179" s="5" t="str">
        <f t="shared" si="14"/>
        <v>dib042007</v>
      </c>
      <c r="J179">
        <v>0.56759999999999999</v>
      </c>
      <c r="K179">
        <v>14</v>
      </c>
      <c r="L179">
        <f t="shared" si="18"/>
        <v>9.8956999999999997</v>
      </c>
      <c r="M179">
        <v>9.8956999999999997</v>
      </c>
    </row>
    <row r="180" spans="1:13" x14ac:dyDescent="0.2">
      <c r="A180" s="3">
        <v>2005</v>
      </c>
      <c r="B180">
        <v>0.5878000000000001</v>
      </c>
      <c r="C180">
        <v>14</v>
      </c>
      <c r="G180" s="5" t="s">
        <v>64</v>
      </c>
      <c r="H180" s="3">
        <v>2008</v>
      </c>
      <c r="I180" s="5" t="str">
        <f t="shared" si="14"/>
        <v>dib042008</v>
      </c>
      <c r="J180">
        <v>0.61550000000000005</v>
      </c>
      <c r="K180">
        <v>14</v>
      </c>
      <c r="L180">
        <f t="shared" si="18"/>
        <v>10.511200000000001</v>
      </c>
      <c r="M180">
        <v>10.511200000000001</v>
      </c>
    </row>
    <row r="181" spans="1:13" x14ac:dyDescent="0.2">
      <c r="A181" s="3">
        <v>2006</v>
      </c>
      <c r="B181">
        <v>0.50955000000000006</v>
      </c>
      <c r="C181">
        <v>14</v>
      </c>
      <c r="G181" s="5" t="s">
        <v>64</v>
      </c>
      <c r="H181" s="3">
        <v>2009</v>
      </c>
      <c r="I181" s="5" t="str">
        <f t="shared" si="14"/>
        <v>dib042009</v>
      </c>
      <c r="J181">
        <v>0.66595000000000004</v>
      </c>
      <c r="K181">
        <v>14</v>
      </c>
      <c r="L181">
        <f t="shared" si="18"/>
        <v>11.177150000000001</v>
      </c>
      <c r="M181">
        <v>11.177150000000001</v>
      </c>
    </row>
    <row r="182" spans="1:13" x14ac:dyDescent="0.2">
      <c r="A182" s="3">
        <v>2007</v>
      </c>
      <c r="B182">
        <v>0.56759999999999999</v>
      </c>
      <c r="C182">
        <v>14</v>
      </c>
      <c r="G182" s="5" t="s">
        <v>64</v>
      </c>
      <c r="H182" s="3">
        <v>2010</v>
      </c>
      <c r="I182" s="5" t="str">
        <f t="shared" si="14"/>
        <v>dib042010</v>
      </c>
      <c r="J182">
        <v>0.98385</v>
      </c>
      <c r="K182">
        <v>14</v>
      </c>
      <c r="L182">
        <f t="shared" si="18"/>
        <v>12.161000000000001</v>
      </c>
      <c r="M182">
        <v>12.161000000000001</v>
      </c>
    </row>
    <row r="183" spans="1:13" x14ac:dyDescent="0.2">
      <c r="A183" s="3">
        <v>2008</v>
      </c>
      <c r="B183">
        <v>0.61550000000000005</v>
      </c>
      <c r="C183">
        <v>14</v>
      </c>
      <c r="G183" s="5" t="s">
        <v>64</v>
      </c>
      <c r="H183" s="3">
        <v>2011</v>
      </c>
      <c r="I183" s="5" t="str">
        <f t="shared" si="14"/>
        <v>dib042011</v>
      </c>
      <c r="J183">
        <v>0.54994999999999994</v>
      </c>
      <c r="K183">
        <v>14</v>
      </c>
      <c r="L183">
        <f>L184-J184</f>
        <v>12.71095</v>
      </c>
      <c r="M183">
        <v>12.71095</v>
      </c>
    </row>
    <row r="184" spans="1:13" x14ac:dyDescent="0.2">
      <c r="A184" s="3">
        <v>2009</v>
      </c>
      <c r="B184">
        <v>0.66595000000000004</v>
      </c>
      <c r="C184">
        <v>14</v>
      </c>
      <c r="G184" s="5" t="s">
        <v>64</v>
      </c>
      <c r="H184" s="3">
        <v>2012</v>
      </c>
      <c r="I184" s="5" t="str">
        <f t="shared" si="14"/>
        <v>dib042012</v>
      </c>
      <c r="J184">
        <v>0.55500000000000005</v>
      </c>
      <c r="K184">
        <v>14</v>
      </c>
      <c r="L184">
        <f>K184-J185</f>
        <v>13.26595</v>
      </c>
      <c r="M184">
        <v>13.26595</v>
      </c>
    </row>
    <row r="185" spans="1:13" x14ac:dyDescent="0.2">
      <c r="A185" s="3">
        <v>2010</v>
      </c>
      <c r="B185">
        <v>0.98385</v>
      </c>
      <c r="C185">
        <v>14</v>
      </c>
      <c r="G185" s="5" t="s">
        <v>64</v>
      </c>
      <c r="H185" s="3">
        <v>2013</v>
      </c>
      <c r="I185" s="5" t="str">
        <f t="shared" si="14"/>
        <v>dib042013</v>
      </c>
      <c r="J185">
        <v>0.73405000000000009</v>
      </c>
      <c r="K185">
        <v>14</v>
      </c>
      <c r="M185">
        <v>14</v>
      </c>
    </row>
    <row r="186" spans="1:13" x14ac:dyDescent="0.2">
      <c r="A186" s="3">
        <v>2011</v>
      </c>
      <c r="B186">
        <v>0.54994999999999994</v>
      </c>
      <c r="C186">
        <v>14</v>
      </c>
      <c r="H186" s="5" t="s">
        <v>67</v>
      </c>
      <c r="I186" s="5" t="str">
        <f t="shared" si="14"/>
        <v>dib06</v>
      </c>
      <c r="J186" s="6">
        <v>0.6783300000000001</v>
      </c>
      <c r="K186" s="6">
        <v>8.5</v>
      </c>
      <c r="M186">
        <v>8.5</v>
      </c>
    </row>
    <row r="187" spans="1:13" x14ac:dyDescent="0.2">
      <c r="A187" s="3">
        <v>2012</v>
      </c>
      <c r="B187">
        <v>0.55500000000000005</v>
      </c>
      <c r="C187">
        <v>14</v>
      </c>
      <c r="G187" s="5" t="s">
        <v>67</v>
      </c>
      <c r="H187" s="3">
        <v>2004</v>
      </c>
      <c r="I187" s="5" t="str">
        <f t="shared" si="14"/>
        <v>dib062004</v>
      </c>
      <c r="J187">
        <v>0.5323</v>
      </c>
      <c r="K187">
        <v>8.5</v>
      </c>
      <c r="L187">
        <f t="shared" ref="L187:L193" si="19">L188-J188</f>
        <v>2.2490000000000001</v>
      </c>
      <c r="M187">
        <v>2.2490000000000001</v>
      </c>
    </row>
    <row r="188" spans="1:13" x14ac:dyDescent="0.2">
      <c r="A188" s="3">
        <v>2013</v>
      </c>
      <c r="B188">
        <v>0.73405000000000009</v>
      </c>
      <c r="C188">
        <v>14</v>
      </c>
      <c r="G188" s="5" t="s">
        <v>67</v>
      </c>
      <c r="H188" s="3">
        <v>2005</v>
      </c>
      <c r="I188" s="5" t="str">
        <f t="shared" si="14"/>
        <v>dib062005</v>
      </c>
      <c r="J188">
        <v>0.48935000000000006</v>
      </c>
      <c r="K188">
        <v>8.5</v>
      </c>
      <c r="L188">
        <f t="shared" si="19"/>
        <v>2.7383500000000001</v>
      </c>
      <c r="M188">
        <v>2.7383500000000001</v>
      </c>
    </row>
    <row r="189" spans="1:13" x14ac:dyDescent="0.2">
      <c r="A189" s="2" t="s">
        <v>67</v>
      </c>
      <c r="B189">
        <v>0.6783300000000001</v>
      </c>
      <c r="C189">
        <v>8.5</v>
      </c>
      <c r="G189" s="5" t="s">
        <v>67</v>
      </c>
      <c r="H189" s="3">
        <v>2006</v>
      </c>
      <c r="I189" s="5" t="str">
        <f t="shared" si="14"/>
        <v>dib062006</v>
      </c>
      <c r="J189">
        <v>0.74670000000000003</v>
      </c>
      <c r="K189">
        <v>8.5</v>
      </c>
      <c r="L189">
        <f t="shared" si="19"/>
        <v>3.4850500000000002</v>
      </c>
      <c r="M189">
        <v>3.4850500000000002</v>
      </c>
    </row>
    <row r="190" spans="1:13" x14ac:dyDescent="0.2">
      <c r="A190" s="3">
        <v>2004</v>
      </c>
      <c r="B190">
        <v>0.5323</v>
      </c>
      <c r="C190">
        <v>8.5</v>
      </c>
      <c r="G190" s="5" t="s">
        <v>67</v>
      </c>
      <c r="H190" s="3">
        <v>2007</v>
      </c>
      <c r="I190" s="5" t="str">
        <f t="shared" si="14"/>
        <v>dib062007</v>
      </c>
      <c r="J190">
        <v>0.58274999999999999</v>
      </c>
      <c r="K190">
        <v>8.5</v>
      </c>
      <c r="L190">
        <f t="shared" si="19"/>
        <v>4.0678000000000001</v>
      </c>
      <c r="M190">
        <v>4.0678000000000001</v>
      </c>
    </row>
    <row r="191" spans="1:13" x14ac:dyDescent="0.2">
      <c r="A191" s="3">
        <v>2005</v>
      </c>
      <c r="B191">
        <v>0.48935000000000006</v>
      </c>
      <c r="C191">
        <v>8.5</v>
      </c>
      <c r="G191" s="5" t="s">
        <v>67</v>
      </c>
      <c r="H191" s="3">
        <v>2008</v>
      </c>
      <c r="I191" s="5" t="str">
        <f t="shared" si="14"/>
        <v>dib062008</v>
      </c>
      <c r="J191">
        <v>0.44645000000000001</v>
      </c>
      <c r="K191">
        <v>8.5</v>
      </c>
      <c r="L191">
        <f t="shared" si="19"/>
        <v>4.5142500000000005</v>
      </c>
      <c r="M191">
        <v>4.5142500000000005</v>
      </c>
    </row>
    <row r="192" spans="1:13" x14ac:dyDescent="0.2">
      <c r="A192" s="3">
        <v>2006</v>
      </c>
      <c r="B192">
        <v>0.74670000000000003</v>
      </c>
      <c r="C192">
        <v>8.5</v>
      </c>
      <c r="G192" s="5" t="s">
        <v>67</v>
      </c>
      <c r="H192" s="3">
        <v>2009</v>
      </c>
      <c r="I192" s="5" t="str">
        <f t="shared" si="14"/>
        <v>dib062009</v>
      </c>
      <c r="J192">
        <v>0.52980000000000005</v>
      </c>
      <c r="K192">
        <v>8.5</v>
      </c>
      <c r="L192">
        <f t="shared" si="19"/>
        <v>5.0440500000000004</v>
      </c>
      <c r="M192">
        <v>5.0440500000000004</v>
      </c>
    </row>
    <row r="193" spans="1:13" x14ac:dyDescent="0.2">
      <c r="A193" s="3">
        <v>2007</v>
      </c>
      <c r="B193">
        <v>0.58274999999999999</v>
      </c>
      <c r="C193">
        <v>8.5</v>
      </c>
      <c r="G193" s="5" t="s">
        <v>67</v>
      </c>
      <c r="H193" s="3">
        <v>2010</v>
      </c>
      <c r="I193" s="5" t="str">
        <f t="shared" si="14"/>
        <v>dib062010</v>
      </c>
      <c r="J193">
        <v>0.74920000000000009</v>
      </c>
      <c r="K193">
        <v>8.5</v>
      </c>
      <c r="L193">
        <f t="shared" si="19"/>
        <v>5.7932500000000005</v>
      </c>
      <c r="M193">
        <v>5.7932500000000005</v>
      </c>
    </row>
    <row r="194" spans="1:13" x14ac:dyDescent="0.2">
      <c r="A194" s="3">
        <v>2008</v>
      </c>
      <c r="B194">
        <v>0.44645000000000001</v>
      </c>
      <c r="C194">
        <v>8.5</v>
      </c>
      <c r="G194" s="5" t="s">
        <v>67</v>
      </c>
      <c r="H194" s="3">
        <v>2011</v>
      </c>
      <c r="I194" s="5" t="str">
        <f t="shared" ref="I194:I257" si="20">CONCATENATE(G194,H194)</f>
        <v>dib062011</v>
      </c>
      <c r="J194">
        <v>0.95355000000000001</v>
      </c>
      <c r="K194">
        <v>8.5</v>
      </c>
      <c r="L194">
        <f>L195-J195</f>
        <v>6.7468000000000004</v>
      </c>
      <c r="M194">
        <v>6.7468000000000004</v>
      </c>
    </row>
    <row r="195" spans="1:13" x14ac:dyDescent="0.2">
      <c r="A195" s="3">
        <v>2009</v>
      </c>
      <c r="B195">
        <v>0.52980000000000005</v>
      </c>
      <c r="C195">
        <v>8.5</v>
      </c>
      <c r="G195" s="5" t="s">
        <v>67</v>
      </c>
      <c r="H195" s="3">
        <v>2012</v>
      </c>
      <c r="I195" s="5" t="str">
        <f t="shared" si="20"/>
        <v>dib062012</v>
      </c>
      <c r="J195">
        <v>0.80469999999999997</v>
      </c>
      <c r="K195">
        <v>8.5</v>
      </c>
      <c r="L195">
        <f>K195-J196</f>
        <v>7.5514999999999999</v>
      </c>
      <c r="M195">
        <v>7.5514999999999999</v>
      </c>
    </row>
    <row r="196" spans="1:13" x14ac:dyDescent="0.2">
      <c r="A196" s="3">
        <v>2010</v>
      </c>
      <c r="B196">
        <v>0.74920000000000009</v>
      </c>
      <c r="C196">
        <v>8.5</v>
      </c>
      <c r="G196" s="5" t="s">
        <v>67</v>
      </c>
      <c r="H196" s="3">
        <v>2013</v>
      </c>
      <c r="I196" s="5" t="str">
        <f t="shared" si="20"/>
        <v>dib062013</v>
      </c>
      <c r="J196">
        <v>0.94850000000000012</v>
      </c>
      <c r="K196">
        <v>8.5</v>
      </c>
      <c r="M196">
        <v>8.5</v>
      </c>
    </row>
    <row r="197" spans="1:13" x14ac:dyDescent="0.2">
      <c r="A197" s="3">
        <v>2011</v>
      </c>
      <c r="B197">
        <v>0.95355000000000001</v>
      </c>
      <c r="C197">
        <v>8.5</v>
      </c>
      <c r="H197" s="5" t="s">
        <v>70</v>
      </c>
      <c r="I197" s="5" t="str">
        <f t="shared" si="20"/>
        <v>dib08</v>
      </c>
      <c r="J197" s="6">
        <v>0.620288888888889</v>
      </c>
      <c r="K197" s="6">
        <v>7</v>
      </c>
      <c r="M197">
        <v>7</v>
      </c>
    </row>
    <row r="198" spans="1:13" x14ac:dyDescent="0.2">
      <c r="A198" s="3">
        <v>2012</v>
      </c>
      <c r="B198">
        <v>0.80469999999999997</v>
      </c>
      <c r="C198">
        <v>8.5</v>
      </c>
      <c r="G198" s="5" t="s">
        <v>70</v>
      </c>
      <c r="H198" s="3">
        <v>2004</v>
      </c>
      <c r="I198" s="5" t="str">
        <f t="shared" si="20"/>
        <v>dib082004</v>
      </c>
      <c r="J198">
        <v>0.26240000000000002</v>
      </c>
      <c r="K198">
        <v>7</v>
      </c>
      <c r="L198">
        <f t="shared" ref="L198:L204" si="21">L199-J199</f>
        <v>1.2509500000000005</v>
      </c>
      <c r="M198">
        <v>1.2509500000000005</v>
      </c>
    </row>
    <row r="199" spans="1:13" x14ac:dyDescent="0.2">
      <c r="A199" s="3">
        <v>2013</v>
      </c>
      <c r="B199">
        <v>0.94850000000000012</v>
      </c>
      <c r="C199">
        <v>8.5</v>
      </c>
      <c r="G199" s="5" t="s">
        <v>70</v>
      </c>
      <c r="H199" s="3">
        <v>2005</v>
      </c>
      <c r="I199" s="5" t="str">
        <f t="shared" si="20"/>
        <v>dib082005</v>
      </c>
      <c r="J199">
        <v>0.59530000000000005</v>
      </c>
      <c r="K199">
        <v>7</v>
      </c>
      <c r="L199">
        <f t="shared" si="21"/>
        <v>1.8462500000000004</v>
      </c>
      <c r="M199">
        <v>1.8462500000000004</v>
      </c>
    </row>
    <row r="200" spans="1:13" x14ac:dyDescent="0.2">
      <c r="A200" s="2" t="s">
        <v>70</v>
      </c>
      <c r="B200">
        <v>0.620288888888889</v>
      </c>
      <c r="C200">
        <v>7</v>
      </c>
      <c r="G200" s="5" t="s">
        <v>70</v>
      </c>
      <c r="H200" s="3">
        <v>2006</v>
      </c>
      <c r="I200" s="5" t="str">
        <f t="shared" si="20"/>
        <v>dib082006</v>
      </c>
      <c r="J200">
        <v>0.61810000000000009</v>
      </c>
      <c r="K200">
        <v>7</v>
      </c>
      <c r="L200">
        <f t="shared" si="21"/>
        <v>2.4643500000000005</v>
      </c>
      <c r="M200">
        <v>2.4643500000000005</v>
      </c>
    </row>
    <row r="201" spans="1:13" x14ac:dyDescent="0.2">
      <c r="A201" s="3">
        <v>2004</v>
      </c>
      <c r="B201">
        <v>0.26240000000000002</v>
      </c>
      <c r="C201">
        <v>7</v>
      </c>
      <c r="G201" s="5" t="s">
        <v>70</v>
      </c>
      <c r="H201" s="3">
        <v>2007</v>
      </c>
      <c r="I201" s="5" t="str">
        <f t="shared" si="20"/>
        <v>dib082007</v>
      </c>
      <c r="J201">
        <v>0.66339999999999999</v>
      </c>
      <c r="K201">
        <v>7</v>
      </c>
      <c r="L201">
        <f t="shared" si="21"/>
        <v>3.1277500000000007</v>
      </c>
      <c r="M201">
        <v>3.1277500000000007</v>
      </c>
    </row>
    <row r="202" spans="1:13" x14ac:dyDescent="0.2">
      <c r="A202" s="3">
        <v>2005</v>
      </c>
      <c r="B202">
        <v>0.59530000000000005</v>
      </c>
      <c r="C202">
        <v>7</v>
      </c>
      <c r="G202" s="5" t="s">
        <v>70</v>
      </c>
      <c r="H202" s="3">
        <v>2008</v>
      </c>
      <c r="I202" s="5" t="str">
        <f t="shared" si="20"/>
        <v>dib082008</v>
      </c>
      <c r="J202">
        <v>0.60289999999999999</v>
      </c>
      <c r="K202">
        <v>7</v>
      </c>
      <c r="L202">
        <f t="shared" si="21"/>
        <v>3.7306500000000007</v>
      </c>
      <c r="M202">
        <v>3.7306500000000007</v>
      </c>
    </row>
    <row r="203" spans="1:13" x14ac:dyDescent="0.2">
      <c r="A203" s="3">
        <v>2006</v>
      </c>
      <c r="B203">
        <v>0.61810000000000009</v>
      </c>
      <c r="C203">
        <v>7</v>
      </c>
      <c r="G203" s="5" t="s">
        <v>70</v>
      </c>
      <c r="H203" s="3">
        <v>2009</v>
      </c>
      <c r="I203" s="5" t="str">
        <f t="shared" si="20"/>
        <v>dib082009</v>
      </c>
      <c r="J203">
        <v>0.61050000000000004</v>
      </c>
      <c r="K203">
        <v>7</v>
      </c>
      <c r="L203">
        <f t="shared" si="21"/>
        <v>4.3411500000000007</v>
      </c>
      <c r="M203">
        <v>4.3411500000000007</v>
      </c>
    </row>
    <row r="204" spans="1:13" x14ac:dyDescent="0.2">
      <c r="A204" s="3">
        <v>2007</v>
      </c>
      <c r="B204">
        <v>0.66339999999999999</v>
      </c>
      <c r="C204">
        <v>7</v>
      </c>
      <c r="G204" s="5" t="s">
        <v>70</v>
      </c>
      <c r="H204" s="3">
        <v>2010</v>
      </c>
      <c r="I204" s="5" t="str">
        <f t="shared" si="20"/>
        <v>dib082010</v>
      </c>
      <c r="J204">
        <v>0.82489999999999997</v>
      </c>
      <c r="K204">
        <v>7</v>
      </c>
      <c r="L204">
        <f t="shared" si="21"/>
        <v>5.1660500000000003</v>
      </c>
      <c r="M204">
        <v>5.1660500000000003</v>
      </c>
    </row>
    <row r="205" spans="1:13" x14ac:dyDescent="0.2">
      <c r="A205" s="3">
        <v>2008</v>
      </c>
      <c r="B205">
        <v>0.60289999999999999</v>
      </c>
      <c r="C205">
        <v>7</v>
      </c>
      <c r="G205" s="5" t="s">
        <v>70</v>
      </c>
      <c r="H205" s="3">
        <v>2011</v>
      </c>
      <c r="I205" s="5" t="str">
        <f t="shared" si="20"/>
        <v>dib082011</v>
      </c>
      <c r="J205">
        <v>0.70130000000000003</v>
      </c>
      <c r="K205">
        <v>7</v>
      </c>
      <c r="L205">
        <f>L206-J206</f>
        <v>5.8673500000000001</v>
      </c>
      <c r="M205">
        <v>5.8673500000000001</v>
      </c>
    </row>
    <row r="206" spans="1:13" x14ac:dyDescent="0.2">
      <c r="A206" s="3">
        <v>2009</v>
      </c>
      <c r="B206">
        <v>0.61050000000000004</v>
      </c>
      <c r="C206">
        <v>7</v>
      </c>
      <c r="G206" s="5" t="s">
        <v>70</v>
      </c>
      <c r="H206" s="3">
        <v>2012</v>
      </c>
      <c r="I206" s="5" t="str">
        <f t="shared" si="20"/>
        <v>dib082012</v>
      </c>
      <c r="J206">
        <v>0.69120000000000004</v>
      </c>
      <c r="K206">
        <v>7</v>
      </c>
      <c r="L206">
        <f>K206-J207</f>
        <v>6.5585500000000003</v>
      </c>
      <c r="M206">
        <v>6.5585500000000003</v>
      </c>
    </row>
    <row r="207" spans="1:13" x14ac:dyDescent="0.2">
      <c r="A207" s="3">
        <v>2010</v>
      </c>
      <c r="B207">
        <v>0.82489999999999997</v>
      </c>
      <c r="C207">
        <v>7</v>
      </c>
      <c r="G207" s="5" t="s">
        <v>70</v>
      </c>
      <c r="H207" s="3">
        <v>2013</v>
      </c>
      <c r="I207" s="5" t="str">
        <f t="shared" si="20"/>
        <v>dib082013</v>
      </c>
      <c r="J207">
        <v>0.44145000000000001</v>
      </c>
      <c r="K207">
        <v>7</v>
      </c>
      <c r="M207">
        <v>7</v>
      </c>
    </row>
    <row r="208" spans="1:13" x14ac:dyDescent="0.2">
      <c r="A208" s="3">
        <v>2011</v>
      </c>
      <c r="B208">
        <v>0.70130000000000003</v>
      </c>
      <c r="C208">
        <v>7</v>
      </c>
      <c r="H208" s="5" t="s">
        <v>73</v>
      </c>
      <c r="I208" s="5" t="str">
        <f t="shared" si="20"/>
        <v>dib15</v>
      </c>
      <c r="J208" s="6">
        <v>0.57893333333333341</v>
      </c>
      <c r="K208" s="6">
        <v>6</v>
      </c>
      <c r="M208">
        <v>6</v>
      </c>
    </row>
    <row r="209" spans="1:13" x14ac:dyDescent="0.2">
      <c r="A209" s="3">
        <v>2012</v>
      </c>
      <c r="B209">
        <v>0.69120000000000004</v>
      </c>
      <c r="C209">
        <v>7</v>
      </c>
      <c r="G209" s="5" t="s">
        <v>73</v>
      </c>
      <c r="H209" s="3">
        <v>2008</v>
      </c>
      <c r="I209" s="5" t="str">
        <f t="shared" si="20"/>
        <v>dib152008</v>
      </c>
      <c r="J209">
        <v>0.6483000000000001</v>
      </c>
      <c r="K209">
        <v>6</v>
      </c>
      <c r="L209">
        <f t="shared" ref="L209:L211" si="22">L210-J210</f>
        <v>3.1747000000000001</v>
      </c>
      <c r="M209">
        <v>3.1747000000000001</v>
      </c>
    </row>
    <row r="210" spans="1:13" x14ac:dyDescent="0.2">
      <c r="A210" s="3">
        <v>2013</v>
      </c>
      <c r="B210">
        <v>0.44145000000000001</v>
      </c>
      <c r="C210">
        <v>7</v>
      </c>
      <c r="G210" s="5" t="s">
        <v>73</v>
      </c>
      <c r="H210" s="3">
        <v>2009</v>
      </c>
      <c r="I210" s="5" t="str">
        <f t="shared" si="20"/>
        <v>dib152009</v>
      </c>
      <c r="J210">
        <v>0.61299999999999999</v>
      </c>
      <c r="K210">
        <v>6</v>
      </c>
      <c r="L210">
        <f t="shared" si="22"/>
        <v>3.7877000000000001</v>
      </c>
      <c r="M210">
        <v>3.7877000000000001</v>
      </c>
    </row>
    <row r="211" spans="1:13" x14ac:dyDescent="0.2">
      <c r="A211" s="2" t="s">
        <v>73</v>
      </c>
      <c r="B211">
        <v>0.57893333333333341</v>
      </c>
      <c r="C211">
        <v>6</v>
      </c>
      <c r="G211" s="5" t="s">
        <v>73</v>
      </c>
      <c r="H211" s="3">
        <v>2010</v>
      </c>
      <c r="I211" s="5" t="str">
        <f t="shared" si="20"/>
        <v>dib152010</v>
      </c>
      <c r="J211">
        <v>0.67605000000000004</v>
      </c>
      <c r="K211">
        <v>6</v>
      </c>
      <c r="L211">
        <f t="shared" si="22"/>
        <v>4.4637500000000001</v>
      </c>
      <c r="M211">
        <v>4.4637500000000001</v>
      </c>
    </row>
    <row r="212" spans="1:13" x14ac:dyDescent="0.2">
      <c r="A212" s="3">
        <v>2008</v>
      </c>
      <c r="B212">
        <v>0.6483000000000001</v>
      </c>
      <c r="C212">
        <v>6</v>
      </c>
      <c r="G212" s="5" t="s">
        <v>73</v>
      </c>
      <c r="H212" s="3">
        <v>2011</v>
      </c>
      <c r="I212" s="5" t="str">
        <f t="shared" si="20"/>
        <v>dib152011</v>
      </c>
      <c r="J212">
        <v>0.49439999999999995</v>
      </c>
      <c r="K212">
        <v>6</v>
      </c>
      <c r="L212">
        <f>L213-J213</f>
        <v>4.9581499999999998</v>
      </c>
      <c r="M212">
        <v>4.9581499999999998</v>
      </c>
    </row>
    <row r="213" spans="1:13" x14ac:dyDescent="0.2">
      <c r="A213" s="3">
        <v>2009</v>
      </c>
      <c r="B213">
        <v>0.61299999999999999</v>
      </c>
      <c r="C213">
        <v>6</v>
      </c>
      <c r="G213" s="5" t="s">
        <v>73</v>
      </c>
      <c r="H213" s="3">
        <v>2012</v>
      </c>
      <c r="I213" s="5" t="str">
        <f t="shared" si="20"/>
        <v>dib152012</v>
      </c>
      <c r="J213">
        <v>0.65085000000000004</v>
      </c>
      <c r="K213">
        <v>6</v>
      </c>
      <c r="L213">
        <f>K213-J214</f>
        <v>5.609</v>
      </c>
      <c r="M213">
        <v>5.609</v>
      </c>
    </row>
    <row r="214" spans="1:13" x14ac:dyDescent="0.2">
      <c r="A214" s="3">
        <v>2010</v>
      </c>
      <c r="B214">
        <v>0.67605000000000004</v>
      </c>
      <c r="C214">
        <v>6</v>
      </c>
      <c r="G214" s="5" t="s">
        <v>73</v>
      </c>
      <c r="H214" s="3">
        <v>2013</v>
      </c>
      <c r="I214" s="5" t="str">
        <f t="shared" si="20"/>
        <v>dib152013</v>
      </c>
      <c r="J214">
        <v>0.39100000000000001</v>
      </c>
      <c r="K214">
        <v>6</v>
      </c>
      <c r="M214">
        <v>6</v>
      </c>
    </row>
    <row r="215" spans="1:13" x14ac:dyDescent="0.2">
      <c r="A215" s="3">
        <v>2011</v>
      </c>
      <c r="B215">
        <v>0.49439999999999995</v>
      </c>
      <c r="C215">
        <v>6</v>
      </c>
      <c r="H215" s="5" t="s">
        <v>76</v>
      </c>
      <c r="I215" s="5" t="str">
        <f t="shared" si="20"/>
        <v>dib16</v>
      </c>
      <c r="J215" s="6">
        <v>0.75300000000000011</v>
      </c>
      <c r="K215" s="6">
        <v>7</v>
      </c>
      <c r="M215">
        <v>7</v>
      </c>
    </row>
    <row r="216" spans="1:13" x14ac:dyDescent="0.2">
      <c r="A216" s="3">
        <v>2012</v>
      </c>
      <c r="B216">
        <v>0.65085000000000004</v>
      </c>
      <c r="C216">
        <v>6</v>
      </c>
      <c r="G216" s="5" t="s">
        <v>76</v>
      </c>
      <c r="H216" s="3">
        <v>2008</v>
      </c>
      <c r="I216" s="5" t="str">
        <f t="shared" si="20"/>
        <v>dib162008</v>
      </c>
      <c r="J216">
        <v>0.89549999999999996</v>
      </c>
      <c r="K216">
        <v>7</v>
      </c>
      <c r="L216">
        <f t="shared" ref="L216:L218" si="23">L217-J217</f>
        <v>3.3774999999999995</v>
      </c>
      <c r="M216">
        <v>3.3774999999999995</v>
      </c>
    </row>
    <row r="217" spans="1:13" x14ac:dyDescent="0.2">
      <c r="A217" s="3">
        <v>2013</v>
      </c>
      <c r="B217">
        <v>0.39100000000000001</v>
      </c>
      <c r="C217">
        <v>6</v>
      </c>
      <c r="G217" s="5" t="s">
        <v>76</v>
      </c>
      <c r="H217" s="3">
        <v>2009</v>
      </c>
      <c r="I217" s="5" t="str">
        <f t="shared" si="20"/>
        <v>dib162009</v>
      </c>
      <c r="J217">
        <v>0.83755000000000002</v>
      </c>
      <c r="K217">
        <v>7</v>
      </c>
      <c r="L217">
        <f t="shared" si="23"/>
        <v>4.2150499999999997</v>
      </c>
      <c r="M217">
        <v>4.2150499999999997</v>
      </c>
    </row>
    <row r="218" spans="1:13" x14ac:dyDescent="0.2">
      <c r="A218" s="2" t="s">
        <v>76</v>
      </c>
      <c r="B218">
        <v>0.75300000000000011</v>
      </c>
      <c r="C218">
        <v>7</v>
      </c>
      <c r="G218" s="5" t="s">
        <v>76</v>
      </c>
      <c r="H218" s="3">
        <v>2010</v>
      </c>
      <c r="I218" s="5" t="str">
        <f t="shared" si="20"/>
        <v>dib162010</v>
      </c>
      <c r="J218">
        <v>0.89810000000000001</v>
      </c>
      <c r="K218">
        <v>7</v>
      </c>
      <c r="L218">
        <f t="shared" si="23"/>
        <v>5.1131500000000001</v>
      </c>
      <c r="M218">
        <v>5.1131500000000001</v>
      </c>
    </row>
    <row r="219" spans="1:13" x14ac:dyDescent="0.2">
      <c r="A219" s="3">
        <v>2008</v>
      </c>
      <c r="B219">
        <v>0.89549999999999996</v>
      </c>
      <c r="C219">
        <v>7</v>
      </c>
      <c r="G219" s="5" t="s">
        <v>76</v>
      </c>
      <c r="H219" s="3">
        <v>2011</v>
      </c>
      <c r="I219" s="5" t="str">
        <f t="shared" si="20"/>
        <v>dib162011</v>
      </c>
      <c r="J219">
        <v>0.75419999999999998</v>
      </c>
      <c r="K219">
        <v>7</v>
      </c>
      <c r="L219">
        <f>L220-J220</f>
        <v>5.8673500000000001</v>
      </c>
      <c r="M219">
        <v>5.8673500000000001</v>
      </c>
    </row>
    <row r="220" spans="1:13" x14ac:dyDescent="0.2">
      <c r="A220" s="3">
        <v>2009</v>
      </c>
      <c r="B220">
        <v>0.83755000000000002</v>
      </c>
      <c r="C220">
        <v>7</v>
      </c>
      <c r="G220" s="5" t="s">
        <v>76</v>
      </c>
      <c r="H220" s="3">
        <v>2012</v>
      </c>
      <c r="I220" s="5" t="str">
        <f t="shared" si="20"/>
        <v>dib162012</v>
      </c>
      <c r="J220">
        <v>0.71900000000000008</v>
      </c>
      <c r="K220">
        <v>7</v>
      </c>
      <c r="L220">
        <f>K220-J221</f>
        <v>6.5863500000000004</v>
      </c>
      <c r="M220">
        <v>6.5863500000000004</v>
      </c>
    </row>
    <row r="221" spans="1:13" x14ac:dyDescent="0.2">
      <c r="A221" s="3">
        <v>2010</v>
      </c>
      <c r="B221">
        <v>0.89810000000000001</v>
      </c>
      <c r="C221">
        <v>7</v>
      </c>
      <c r="G221" s="5" t="s">
        <v>76</v>
      </c>
      <c r="H221" s="3">
        <v>2013</v>
      </c>
      <c r="I221" s="5" t="str">
        <f t="shared" si="20"/>
        <v>dib162013</v>
      </c>
      <c r="J221">
        <v>0.41365000000000002</v>
      </c>
      <c r="K221">
        <v>7</v>
      </c>
      <c r="M221">
        <v>7</v>
      </c>
    </row>
    <row r="222" spans="1:13" x14ac:dyDescent="0.2">
      <c r="A222" s="3">
        <v>2011</v>
      </c>
      <c r="B222">
        <v>0.75419999999999998</v>
      </c>
      <c r="C222">
        <v>7</v>
      </c>
      <c r="G222" s="5"/>
      <c r="H222" s="5" t="s">
        <v>79</v>
      </c>
      <c r="I222" s="5" t="str">
        <f t="shared" si="20"/>
        <v>ras04</v>
      </c>
      <c r="J222" s="6">
        <v>0.41587142857142873</v>
      </c>
      <c r="K222" s="6">
        <v>7.5</v>
      </c>
      <c r="M222">
        <v>7.5</v>
      </c>
    </row>
    <row r="223" spans="1:13" x14ac:dyDescent="0.2">
      <c r="A223" s="3">
        <v>2012</v>
      </c>
      <c r="B223">
        <v>0.71900000000000008</v>
      </c>
      <c r="C223">
        <v>7</v>
      </c>
      <c r="G223" s="5" t="s">
        <v>79</v>
      </c>
      <c r="H223" s="3">
        <v>2000</v>
      </c>
      <c r="I223" s="5" t="str">
        <f t="shared" si="20"/>
        <v>ras042000</v>
      </c>
      <c r="J223">
        <v>0.47420000000000001</v>
      </c>
      <c r="K223">
        <v>7.5</v>
      </c>
      <c r="L223">
        <f t="shared" ref="L223:L233" si="24">L224-J224</f>
        <v>2.1519999999999997</v>
      </c>
      <c r="M223">
        <v>2.1519999999999997</v>
      </c>
    </row>
    <row r="224" spans="1:13" x14ac:dyDescent="0.2">
      <c r="A224" s="3">
        <v>2013</v>
      </c>
      <c r="B224">
        <v>0.41365000000000002</v>
      </c>
      <c r="C224">
        <v>7</v>
      </c>
      <c r="G224" s="5" t="s">
        <v>79</v>
      </c>
      <c r="H224" s="3">
        <v>2001</v>
      </c>
      <c r="I224" s="5" t="str">
        <f t="shared" si="20"/>
        <v>ras042001</v>
      </c>
      <c r="J224">
        <v>0.217</v>
      </c>
      <c r="K224">
        <v>7.5</v>
      </c>
      <c r="L224">
        <f t="shared" si="24"/>
        <v>2.3689999999999998</v>
      </c>
      <c r="M224">
        <v>2.3689999999999998</v>
      </c>
    </row>
    <row r="225" spans="1:13" x14ac:dyDescent="0.2">
      <c r="A225" s="2" t="s">
        <v>79</v>
      </c>
      <c r="B225">
        <v>0.41587142857142873</v>
      </c>
      <c r="C225">
        <v>7.5</v>
      </c>
      <c r="G225" s="5" t="s">
        <v>79</v>
      </c>
      <c r="H225" s="3">
        <v>2002</v>
      </c>
      <c r="I225" s="5" t="str">
        <f t="shared" si="20"/>
        <v>ras042002</v>
      </c>
      <c r="J225">
        <v>0.40360000000000001</v>
      </c>
      <c r="K225">
        <v>7.5</v>
      </c>
      <c r="L225">
        <f t="shared" si="24"/>
        <v>2.7725999999999997</v>
      </c>
      <c r="M225">
        <v>2.7725999999999997</v>
      </c>
    </row>
    <row r="226" spans="1:13" x14ac:dyDescent="0.2">
      <c r="A226" s="3">
        <v>2000</v>
      </c>
      <c r="B226">
        <v>0.47420000000000001</v>
      </c>
      <c r="C226">
        <v>7.5</v>
      </c>
      <c r="G226" s="5" t="s">
        <v>79</v>
      </c>
      <c r="H226" s="3">
        <v>2003</v>
      </c>
      <c r="I226" s="5" t="str">
        <f t="shared" si="20"/>
        <v>ras042003</v>
      </c>
      <c r="J226">
        <v>0.33800000000000002</v>
      </c>
      <c r="K226">
        <v>7.5</v>
      </c>
      <c r="L226">
        <f t="shared" si="24"/>
        <v>3.1105999999999998</v>
      </c>
      <c r="M226">
        <v>3.1105999999999998</v>
      </c>
    </row>
    <row r="227" spans="1:13" x14ac:dyDescent="0.2">
      <c r="A227" s="3">
        <v>2001</v>
      </c>
      <c r="B227">
        <v>0.217</v>
      </c>
      <c r="C227">
        <v>7.5</v>
      </c>
      <c r="G227" s="5" t="s">
        <v>79</v>
      </c>
      <c r="H227" s="3">
        <v>2004</v>
      </c>
      <c r="I227" s="5" t="str">
        <f t="shared" si="20"/>
        <v>ras042004</v>
      </c>
      <c r="J227">
        <v>0.4617</v>
      </c>
      <c r="K227">
        <v>7.5</v>
      </c>
      <c r="L227">
        <f t="shared" si="24"/>
        <v>3.5722999999999998</v>
      </c>
      <c r="M227">
        <v>3.5722999999999998</v>
      </c>
    </row>
    <row r="228" spans="1:13" x14ac:dyDescent="0.2">
      <c r="A228" s="3">
        <v>2002</v>
      </c>
      <c r="B228">
        <v>0.40360000000000001</v>
      </c>
      <c r="C228">
        <v>7.5</v>
      </c>
      <c r="G228" s="5" t="s">
        <v>79</v>
      </c>
      <c r="H228" s="3">
        <v>2005</v>
      </c>
      <c r="I228" s="5" t="str">
        <f t="shared" si="20"/>
        <v>ras042005</v>
      </c>
      <c r="J228">
        <v>0.5676000000000001</v>
      </c>
      <c r="K228">
        <v>7.5</v>
      </c>
      <c r="L228">
        <f t="shared" si="24"/>
        <v>4.1398999999999999</v>
      </c>
      <c r="M228">
        <v>4.1398999999999999</v>
      </c>
    </row>
    <row r="229" spans="1:13" x14ac:dyDescent="0.2">
      <c r="A229" s="3">
        <v>2003</v>
      </c>
      <c r="B229">
        <v>0.33800000000000002</v>
      </c>
      <c r="C229">
        <v>7.5</v>
      </c>
      <c r="G229" s="5" t="s">
        <v>79</v>
      </c>
      <c r="H229" s="3">
        <v>2006</v>
      </c>
      <c r="I229" s="5" t="str">
        <f t="shared" si="20"/>
        <v>ras042006</v>
      </c>
      <c r="J229">
        <v>0.52214999999999989</v>
      </c>
      <c r="K229">
        <v>7.5</v>
      </c>
      <c r="L229">
        <f t="shared" si="24"/>
        <v>4.6620499999999998</v>
      </c>
      <c r="M229">
        <v>4.6620499999999998</v>
      </c>
    </row>
    <row r="230" spans="1:13" x14ac:dyDescent="0.2">
      <c r="A230" s="3">
        <v>2004</v>
      </c>
      <c r="B230">
        <v>0.4617</v>
      </c>
      <c r="C230">
        <v>7.5</v>
      </c>
      <c r="G230" s="5" t="s">
        <v>79</v>
      </c>
      <c r="H230" s="3">
        <v>2007</v>
      </c>
      <c r="I230" s="5" t="str">
        <f t="shared" si="20"/>
        <v>ras042007</v>
      </c>
      <c r="J230">
        <v>0.47425</v>
      </c>
      <c r="K230">
        <v>7.5</v>
      </c>
      <c r="L230">
        <f t="shared" si="24"/>
        <v>5.1362999999999994</v>
      </c>
      <c r="M230">
        <v>5.1362999999999994</v>
      </c>
    </row>
    <row r="231" spans="1:13" x14ac:dyDescent="0.2">
      <c r="A231" s="3">
        <v>2005</v>
      </c>
      <c r="B231">
        <v>0.5676000000000001</v>
      </c>
      <c r="C231">
        <v>7.5</v>
      </c>
      <c r="G231" s="5" t="s">
        <v>79</v>
      </c>
      <c r="H231" s="3">
        <v>2008</v>
      </c>
      <c r="I231" s="5" t="str">
        <f t="shared" si="20"/>
        <v>ras042008</v>
      </c>
      <c r="J231">
        <v>0.44650000000000001</v>
      </c>
      <c r="K231">
        <v>7.5</v>
      </c>
      <c r="L231">
        <f t="shared" si="24"/>
        <v>5.5827999999999998</v>
      </c>
      <c r="M231">
        <v>5.5827999999999998</v>
      </c>
    </row>
    <row r="232" spans="1:13" x14ac:dyDescent="0.2">
      <c r="A232" s="3">
        <v>2006</v>
      </c>
      <c r="B232">
        <v>0.52214999999999989</v>
      </c>
      <c r="C232">
        <v>7.5</v>
      </c>
      <c r="G232" s="5" t="s">
        <v>79</v>
      </c>
      <c r="H232" s="3">
        <v>2009</v>
      </c>
      <c r="I232" s="5" t="str">
        <f t="shared" si="20"/>
        <v>ras042009</v>
      </c>
      <c r="J232">
        <v>0.44400000000000001</v>
      </c>
      <c r="K232">
        <v>7.5</v>
      </c>
      <c r="L232">
        <f t="shared" si="24"/>
        <v>6.0267999999999997</v>
      </c>
      <c r="M232">
        <v>6.0267999999999997</v>
      </c>
    </row>
    <row r="233" spans="1:13" x14ac:dyDescent="0.2">
      <c r="A233" s="3">
        <v>2007</v>
      </c>
      <c r="B233">
        <v>0.47425</v>
      </c>
      <c r="C233">
        <v>7.5</v>
      </c>
      <c r="G233" s="5" t="s">
        <v>79</v>
      </c>
      <c r="H233" s="3">
        <v>2010</v>
      </c>
      <c r="I233" s="5" t="str">
        <f t="shared" si="20"/>
        <v>ras042010</v>
      </c>
      <c r="J233">
        <v>0.44400000000000001</v>
      </c>
      <c r="K233">
        <v>7.5</v>
      </c>
      <c r="L233">
        <f t="shared" si="24"/>
        <v>6.4707999999999997</v>
      </c>
      <c r="M233">
        <v>6.4707999999999997</v>
      </c>
    </row>
    <row r="234" spans="1:13" x14ac:dyDescent="0.2">
      <c r="A234" s="3">
        <v>2008</v>
      </c>
      <c r="B234">
        <v>0.44650000000000001</v>
      </c>
      <c r="C234">
        <v>7.5</v>
      </c>
      <c r="G234" s="5" t="s">
        <v>79</v>
      </c>
      <c r="H234" s="3">
        <v>2011</v>
      </c>
      <c r="I234" s="5" t="str">
        <f t="shared" si="20"/>
        <v>ras042011</v>
      </c>
      <c r="J234">
        <v>0.42880000000000001</v>
      </c>
      <c r="K234">
        <v>7.5</v>
      </c>
      <c r="L234">
        <f>L235-J235</f>
        <v>6.8995999999999995</v>
      </c>
      <c r="M234">
        <v>6.8995999999999995</v>
      </c>
    </row>
    <row r="235" spans="1:13" x14ac:dyDescent="0.2">
      <c r="A235" s="3">
        <v>2009</v>
      </c>
      <c r="B235">
        <v>0.44400000000000001</v>
      </c>
      <c r="C235">
        <v>7.5</v>
      </c>
      <c r="G235" s="5" t="s">
        <v>79</v>
      </c>
      <c r="H235" s="3">
        <v>2012</v>
      </c>
      <c r="I235" s="5" t="str">
        <f t="shared" si="20"/>
        <v>ras042012</v>
      </c>
      <c r="J235">
        <v>0.35820000000000002</v>
      </c>
      <c r="K235">
        <v>7.5</v>
      </c>
      <c r="L235">
        <f>K235-J236</f>
        <v>7.2577999999999996</v>
      </c>
      <c r="M235">
        <v>7.2577999999999996</v>
      </c>
    </row>
    <row r="236" spans="1:13" x14ac:dyDescent="0.2">
      <c r="A236" s="3">
        <v>2010</v>
      </c>
      <c r="B236">
        <v>0.44400000000000001</v>
      </c>
      <c r="C236">
        <v>7.5</v>
      </c>
      <c r="G236" s="5" t="s">
        <v>79</v>
      </c>
      <c r="H236" s="3">
        <v>2013</v>
      </c>
      <c r="I236" s="5" t="str">
        <f t="shared" si="20"/>
        <v>ras042013</v>
      </c>
      <c r="J236">
        <v>0.2422</v>
      </c>
      <c r="K236">
        <v>7.5</v>
      </c>
      <c r="M236">
        <v>7.5</v>
      </c>
    </row>
    <row r="237" spans="1:13" x14ac:dyDescent="0.2">
      <c r="A237" s="3">
        <v>2011</v>
      </c>
      <c r="B237">
        <v>0.42880000000000001</v>
      </c>
      <c r="C237">
        <v>7.5</v>
      </c>
      <c r="H237" s="5" t="s">
        <v>83</v>
      </c>
      <c r="I237" s="5" t="str">
        <f t="shared" si="20"/>
        <v>ras07</v>
      </c>
      <c r="J237" s="6">
        <v>0.36956249999999996</v>
      </c>
      <c r="K237" s="6">
        <v>4</v>
      </c>
      <c r="M237">
        <v>4</v>
      </c>
    </row>
    <row r="238" spans="1:13" x14ac:dyDescent="0.2">
      <c r="A238" s="3">
        <v>2012</v>
      </c>
      <c r="B238">
        <v>0.35820000000000002</v>
      </c>
      <c r="C238">
        <v>7.5</v>
      </c>
      <c r="G238" s="5" t="s">
        <v>83</v>
      </c>
      <c r="H238" s="3">
        <v>2006</v>
      </c>
      <c r="I238" s="5" t="str">
        <f t="shared" si="20"/>
        <v>ras072006</v>
      </c>
      <c r="J238">
        <v>0.39355000000000001</v>
      </c>
      <c r="K238">
        <v>4</v>
      </c>
      <c r="L238">
        <f t="shared" ref="L238:L242" si="25">L239-J239</f>
        <v>1.4370499999999995</v>
      </c>
      <c r="M238">
        <v>1.4370499999999995</v>
      </c>
    </row>
    <row r="239" spans="1:13" x14ac:dyDescent="0.2">
      <c r="A239" s="3">
        <v>2013</v>
      </c>
      <c r="B239">
        <v>0.2422</v>
      </c>
      <c r="C239">
        <v>7.5</v>
      </c>
      <c r="G239" s="5" t="s">
        <v>83</v>
      </c>
      <c r="H239" s="3">
        <v>2007</v>
      </c>
      <c r="I239" s="5" t="str">
        <f t="shared" si="20"/>
        <v>ras072007</v>
      </c>
      <c r="J239">
        <v>0.31030000000000002</v>
      </c>
      <c r="K239">
        <v>4</v>
      </c>
      <c r="L239">
        <f t="shared" si="25"/>
        <v>1.7473499999999995</v>
      </c>
      <c r="M239">
        <v>1.7473499999999995</v>
      </c>
    </row>
    <row r="240" spans="1:13" x14ac:dyDescent="0.2">
      <c r="A240" s="2" t="s">
        <v>83</v>
      </c>
      <c r="B240">
        <v>0.36956249999999996</v>
      </c>
      <c r="C240">
        <v>4</v>
      </c>
      <c r="G240" s="5" t="s">
        <v>83</v>
      </c>
      <c r="H240" s="3">
        <v>2008</v>
      </c>
      <c r="I240" s="5" t="str">
        <f t="shared" si="20"/>
        <v>ras072008</v>
      </c>
      <c r="J240">
        <v>0.41120000000000001</v>
      </c>
      <c r="K240">
        <v>4</v>
      </c>
      <c r="L240">
        <f t="shared" si="25"/>
        <v>2.1585499999999995</v>
      </c>
      <c r="M240">
        <v>2.1585499999999995</v>
      </c>
    </row>
    <row r="241" spans="1:13" x14ac:dyDescent="0.2">
      <c r="A241" s="3">
        <v>2006</v>
      </c>
      <c r="B241">
        <v>0.39355000000000001</v>
      </c>
      <c r="C241">
        <v>4</v>
      </c>
      <c r="G241" s="5" t="s">
        <v>83</v>
      </c>
      <c r="H241" s="3">
        <v>2009</v>
      </c>
      <c r="I241" s="5" t="str">
        <f t="shared" si="20"/>
        <v>ras072009</v>
      </c>
      <c r="J241">
        <v>0.23454999999999998</v>
      </c>
      <c r="K241">
        <v>4</v>
      </c>
      <c r="L241">
        <f t="shared" si="25"/>
        <v>2.3930999999999996</v>
      </c>
      <c r="M241">
        <v>2.3930999999999996</v>
      </c>
    </row>
    <row r="242" spans="1:13" x14ac:dyDescent="0.2">
      <c r="A242" s="3">
        <v>2007</v>
      </c>
      <c r="B242">
        <v>0.31030000000000002</v>
      </c>
      <c r="C242">
        <v>4</v>
      </c>
      <c r="G242" s="5" t="s">
        <v>83</v>
      </c>
      <c r="H242" s="3">
        <v>2010</v>
      </c>
      <c r="I242" s="5" t="str">
        <f t="shared" si="20"/>
        <v>ras072010</v>
      </c>
      <c r="J242">
        <v>0.35070000000000001</v>
      </c>
      <c r="K242">
        <v>4</v>
      </c>
      <c r="L242">
        <f t="shared" si="25"/>
        <v>2.7437999999999998</v>
      </c>
      <c r="M242">
        <v>2.7437999999999998</v>
      </c>
    </row>
    <row r="243" spans="1:13" x14ac:dyDescent="0.2">
      <c r="A243" s="3">
        <v>2008</v>
      </c>
      <c r="B243">
        <v>0.41120000000000001</v>
      </c>
      <c r="C243">
        <v>4</v>
      </c>
      <c r="G243" s="5" t="s">
        <v>83</v>
      </c>
      <c r="H243" s="3">
        <v>2011</v>
      </c>
      <c r="I243" s="5" t="str">
        <f t="shared" si="20"/>
        <v>ras072011</v>
      </c>
      <c r="J243">
        <v>0.31530000000000002</v>
      </c>
      <c r="K243">
        <v>4</v>
      </c>
      <c r="L243">
        <f>L244-J244</f>
        <v>3.0590999999999999</v>
      </c>
      <c r="M243">
        <v>3.0590999999999999</v>
      </c>
    </row>
    <row r="244" spans="1:13" x14ac:dyDescent="0.2">
      <c r="A244" s="3">
        <v>2009</v>
      </c>
      <c r="B244">
        <v>0.23454999999999998</v>
      </c>
      <c r="C244">
        <v>4</v>
      </c>
      <c r="G244" s="5" t="s">
        <v>83</v>
      </c>
      <c r="H244" s="3">
        <v>2012</v>
      </c>
      <c r="I244" s="5" t="str">
        <f t="shared" si="20"/>
        <v>ras072012</v>
      </c>
      <c r="J244">
        <v>0.44145000000000001</v>
      </c>
      <c r="K244">
        <v>4</v>
      </c>
      <c r="L244">
        <f>K244-J245</f>
        <v>3.5005500000000001</v>
      </c>
      <c r="M244">
        <v>3.5005500000000001</v>
      </c>
    </row>
    <row r="245" spans="1:13" x14ac:dyDescent="0.2">
      <c r="A245" s="3">
        <v>2010</v>
      </c>
      <c r="B245">
        <v>0.35070000000000001</v>
      </c>
      <c r="C245">
        <v>4</v>
      </c>
      <c r="G245" s="5" t="s">
        <v>83</v>
      </c>
      <c r="H245" s="3">
        <v>2013</v>
      </c>
      <c r="I245" s="5" t="str">
        <f t="shared" si="20"/>
        <v>ras072013</v>
      </c>
      <c r="J245">
        <v>0.49944999999999995</v>
      </c>
      <c r="K245">
        <v>4</v>
      </c>
      <c r="M245">
        <v>4</v>
      </c>
    </row>
    <row r="246" spans="1:13" x14ac:dyDescent="0.2">
      <c r="A246" s="3">
        <v>2011</v>
      </c>
      <c r="B246">
        <v>0.31530000000000002</v>
      </c>
      <c r="C246">
        <v>4</v>
      </c>
      <c r="H246" s="5" t="s">
        <v>86</v>
      </c>
      <c r="I246" s="5" t="str">
        <f t="shared" si="20"/>
        <v>ras09</v>
      </c>
      <c r="J246" s="6">
        <v>0.43105000000000004</v>
      </c>
      <c r="K246" s="6">
        <v>5</v>
      </c>
      <c r="M246">
        <v>5</v>
      </c>
    </row>
    <row r="247" spans="1:13" x14ac:dyDescent="0.2">
      <c r="A247" s="3">
        <v>2012</v>
      </c>
      <c r="B247">
        <v>0.44145000000000001</v>
      </c>
      <c r="C247">
        <v>4</v>
      </c>
      <c r="G247" s="5" t="s">
        <v>86</v>
      </c>
      <c r="H247" s="3">
        <v>2006</v>
      </c>
      <c r="I247" s="5" t="str">
        <f t="shared" si="20"/>
        <v>ras092006</v>
      </c>
      <c r="J247">
        <v>0.33550000000000002</v>
      </c>
      <c r="K247">
        <v>5</v>
      </c>
      <c r="L247">
        <f t="shared" ref="L247:L251" si="26">L248-J248</f>
        <v>1.8871000000000002</v>
      </c>
      <c r="M247">
        <v>1.8871000000000002</v>
      </c>
    </row>
    <row r="248" spans="1:13" x14ac:dyDescent="0.2">
      <c r="A248" s="3">
        <v>2013</v>
      </c>
      <c r="B248">
        <v>0.49944999999999995</v>
      </c>
      <c r="C248">
        <v>4</v>
      </c>
      <c r="G248" s="5" t="s">
        <v>86</v>
      </c>
      <c r="H248" s="3">
        <v>2007</v>
      </c>
      <c r="I248" s="5" t="str">
        <f t="shared" si="20"/>
        <v>ras092007</v>
      </c>
      <c r="J248">
        <v>0.31535000000000002</v>
      </c>
      <c r="K248">
        <v>5</v>
      </c>
      <c r="L248">
        <f t="shared" si="26"/>
        <v>2.2024500000000002</v>
      </c>
      <c r="M248">
        <v>2.2024500000000002</v>
      </c>
    </row>
    <row r="249" spans="1:13" x14ac:dyDescent="0.2">
      <c r="A249" s="2" t="s">
        <v>86</v>
      </c>
      <c r="B249">
        <v>0.43105000000000004</v>
      </c>
      <c r="C249">
        <v>5</v>
      </c>
      <c r="G249" s="5" t="s">
        <v>86</v>
      </c>
      <c r="H249" s="3">
        <v>2008</v>
      </c>
      <c r="I249" s="5" t="str">
        <f t="shared" si="20"/>
        <v>ras092008</v>
      </c>
      <c r="J249">
        <v>0.47924999999999995</v>
      </c>
      <c r="K249">
        <v>5</v>
      </c>
      <c r="L249">
        <f t="shared" si="26"/>
        <v>2.6817000000000002</v>
      </c>
      <c r="M249">
        <v>2.6817000000000002</v>
      </c>
    </row>
    <row r="250" spans="1:13" x14ac:dyDescent="0.2">
      <c r="A250" s="3">
        <v>2006</v>
      </c>
      <c r="B250">
        <v>0.33550000000000002</v>
      </c>
      <c r="C250">
        <v>5</v>
      </c>
      <c r="G250" s="5" t="s">
        <v>86</v>
      </c>
      <c r="H250" s="3">
        <v>2009</v>
      </c>
      <c r="I250" s="5" t="str">
        <f t="shared" si="20"/>
        <v>ras092009</v>
      </c>
      <c r="J250">
        <v>0.62565000000000004</v>
      </c>
      <c r="K250">
        <v>5</v>
      </c>
      <c r="L250">
        <f t="shared" si="26"/>
        <v>3.30735</v>
      </c>
      <c r="M250">
        <v>3.30735</v>
      </c>
    </row>
    <row r="251" spans="1:13" x14ac:dyDescent="0.2">
      <c r="A251" s="3">
        <v>2007</v>
      </c>
      <c r="B251">
        <v>0.31535000000000002</v>
      </c>
      <c r="C251">
        <v>5</v>
      </c>
      <c r="G251" s="5" t="s">
        <v>86</v>
      </c>
      <c r="H251" s="3">
        <v>2010</v>
      </c>
      <c r="I251" s="5" t="str">
        <f t="shared" si="20"/>
        <v>ras092010</v>
      </c>
      <c r="J251">
        <v>0.46665000000000001</v>
      </c>
      <c r="K251">
        <v>5</v>
      </c>
      <c r="L251">
        <f t="shared" si="26"/>
        <v>3.774</v>
      </c>
      <c r="M251">
        <v>3.774</v>
      </c>
    </row>
    <row r="252" spans="1:13" x14ac:dyDescent="0.2">
      <c r="A252" s="3">
        <v>2008</v>
      </c>
      <c r="B252">
        <v>0.47924999999999995</v>
      </c>
      <c r="C252">
        <v>5</v>
      </c>
      <c r="G252" s="5" t="s">
        <v>86</v>
      </c>
      <c r="H252" s="3">
        <v>2011</v>
      </c>
      <c r="I252" s="5" t="str">
        <f t="shared" si="20"/>
        <v>ras092011</v>
      </c>
      <c r="J252">
        <v>0.37085000000000001</v>
      </c>
      <c r="K252">
        <v>5</v>
      </c>
      <c r="L252">
        <f>L253-J253</f>
        <v>4.1448499999999999</v>
      </c>
      <c r="M252">
        <v>4.1448499999999999</v>
      </c>
    </row>
    <row r="253" spans="1:13" x14ac:dyDescent="0.2">
      <c r="A253" s="3">
        <v>2009</v>
      </c>
      <c r="B253">
        <v>0.62565000000000004</v>
      </c>
      <c r="C253">
        <v>5</v>
      </c>
      <c r="G253" s="5" t="s">
        <v>86</v>
      </c>
      <c r="H253" s="3">
        <v>2012</v>
      </c>
      <c r="I253" s="5" t="str">
        <f t="shared" si="20"/>
        <v>ras092012</v>
      </c>
      <c r="J253">
        <v>0.51205000000000001</v>
      </c>
      <c r="K253">
        <v>5</v>
      </c>
      <c r="L253">
        <f>K253-J254</f>
        <v>4.6569000000000003</v>
      </c>
      <c r="M253">
        <v>4.6569000000000003</v>
      </c>
    </row>
    <row r="254" spans="1:13" x14ac:dyDescent="0.2">
      <c r="A254" s="3">
        <v>2010</v>
      </c>
      <c r="B254">
        <v>0.46665000000000001</v>
      </c>
      <c r="C254">
        <v>5</v>
      </c>
      <c r="G254" s="5" t="s">
        <v>86</v>
      </c>
      <c r="H254" s="3">
        <v>2013</v>
      </c>
      <c r="I254" s="5" t="str">
        <f t="shared" si="20"/>
        <v>ras092013</v>
      </c>
      <c r="J254">
        <v>0.34310000000000002</v>
      </c>
      <c r="K254">
        <v>5</v>
      </c>
      <c r="M254">
        <v>5</v>
      </c>
    </row>
    <row r="255" spans="1:13" x14ac:dyDescent="0.2">
      <c r="A255" s="3">
        <v>2011</v>
      </c>
      <c r="B255">
        <v>0.37085000000000001</v>
      </c>
      <c r="C255">
        <v>5</v>
      </c>
      <c r="H255" s="5" t="s">
        <v>89</v>
      </c>
      <c r="I255" s="5" t="str">
        <f t="shared" si="20"/>
        <v>ras11</v>
      </c>
      <c r="J255" s="6">
        <v>0.71972307692307702</v>
      </c>
      <c r="K255" s="6">
        <v>11</v>
      </c>
      <c r="M255">
        <v>11</v>
      </c>
    </row>
    <row r="256" spans="1:13" x14ac:dyDescent="0.2">
      <c r="A256" s="3">
        <v>2012</v>
      </c>
      <c r="B256">
        <v>0.51205000000000001</v>
      </c>
      <c r="C256">
        <v>5</v>
      </c>
      <c r="G256" s="5" t="s">
        <v>89</v>
      </c>
      <c r="H256" s="3">
        <v>2001</v>
      </c>
      <c r="I256" s="5" t="str">
        <f t="shared" si="20"/>
        <v>ras112001</v>
      </c>
      <c r="J256">
        <v>1.0418500000000002</v>
      </c>
      <c r="K256">
        <v>11</v>
      </c>
      <c r="L256">
        <f t="shared" ref="L256:L265" si="27">L257-J257</f>
        <v>2.6854500000000021</v>
      </c>
      <c r="M256">
        <v>2.6854500000000021</v>
      </c>
    </row>
    <row r="257" spans="1:13" x14ac:dyDescent="0.2">
      <c r="A257" s="3">
        <v>2013</v>
      </c>
      <c r="B257">
        <v>0.34310000000000002</v>
      </c>
      <c r="C257">
        <v>5</v>
      </c>
      <c r="G257" s="5" t="s">
        <v>89</v>
      </c>
      <c r="H257" s="3">
        <v>2002</v>
      </c>
      <c r="I257" s="5" t="str">
        <f t="shared" si="20"/>
        <v>ras112002</v>
      </c>
      <c r="J257">
        <v>0.71889999999999998</v>
      </c>
      <c r="K257">
        <v>11</v>
      </c>
      <c r="L257">
        <f t="shared" si="27"/>
        <v>3.4043500000000022</v>
      </c>
      <c r="M257">
        <v>3.4043500000000022</v>
      </c>
    </row>
    <row r="258" spans="1:13" x14ac:dyDescent="0.2">
      <c r="A258" s="2" t="s">
        <v>89</v>
      </c>
      <c r="B258">
        <v>0.71972307692307702</v>
      </c>
      <c r="C258">
        <v>11</v>
      </c>
      <c r="G258" s="5" t="s">
        <v>89</v>
      </c>
      <c r="H258" s="3">
        <v>2003</v>
      </c>
      <c r="I258" s="5" t="str">
        <f t="shared" ref="I258:I321" si="28">CONCATENATE(G258,H258)</f>
        <v>ras112003</v>
      </c>
      <c r="J258">
        <v>0.75175000000000003</v>
      </c>
      <c r="K258">
        <v>11</v>
      </c>
      <c r="L258">
        <f t="shared" si="27"/>
        <v>4.1561000000000021</v>
      </c>
      <c r="M258">
        <v>4.1561000000000021</v>
      </c>
    </row>
    <row r="259" spans="1:13" x14ac:dyDescent="0.2">
      <c r="A259" s="3">
        <v>2001</v>
      </c>
      <c r="B259">
        <v>1.0418500000000002</v>
      </c>
      <c r="C259">
        <v>11</v>
      </c>
      <c r="G259" s="5" t="s">
        <v>89</v>
      </c>
      <c r="H259" s="3">
        <v>2004</v>
      </c>
      <c r="I259" s="5" t="str">
        <f t="shared" si="28"/>
        <v>ras112004</v>
      </c>
      <c r="J259">
        <v>0.62055000000000005</v>
      </c>
      <c r="K259">
        <v>11</v>
      </c>
      <c r="L259">
        <f t="shared" si="27"/>
        <v>4.7766500000000018</v>
      </c>
      <c r="M259">
        <v>4.7766500000000018</v>
      </c>
    </row>
    <row r="260" spans="1:13" x14ac:dyDescent="0.2">
      <c r="A260" s="3">
        <v>2002</v>
      </c>
      <c r="B260">
        <v>0.71889999999999998</v>
      </c>
      <c r="C260">
        <v>11</v>
      </c>
      <c r="G260" s="5" t="s">
        <v>89</v>
      </c>
      <c r="H260" s="3">
        <v>2005</v>
      </c>
      <c r="I260" s="5" t="str">
        <f t="shared" si="28"/>
        <v>ras112005</v>
      </c>
      <c r="J260">
        <v>0.83250000000000002</v>
      </c>
      <c r="K260">
        <v>11</v>
      </c>
      <c r="L260">
        <f t="shared" si="27"/>
        <v>5.6091500000000014</v>
      </c>
      <c r="M260">
        <v>5.6091500000000014</v>
      </c>
    </row>
    <row r="261" spans="1:13" x14ac:dyDescent="0.2">
      <c r="A261" s="3">
        <v>2003</v>
      </c>
      <c r="B261">
        <v>0.75175000000000003</v>
      </c>
      <c r="C261">
        <v>11</v>
      </c>
      <c r="G261" s="5" t="s">
        <v>89</v>
      </c>
      <c r="H261" s="3">
        <v>2006</v>
      </c>
      <c r="I261" s="5" t="str">
        <f t="shared" si="28"/>
        <v>ras112006</v>
      </c>
      <c r="J261">
        <v>0.69874999999999998</v>
      </c>
      <c r="K261">
        <v>11</v>
      </c>
      <c r="L261">
        <f t="shared" si="27"/>
        <v>6.307900000000001</v>
      </c>
      <c r="M261">
        <v>6.307900000000001</v>
      </c>
    </row>
    <row r="262" spans="1:13" x14ac:dyDescent="0.2">
      <c r="A262" s="3">
        <v>2004</v>
      </c>
      <c r="B262">
        <v>0.62055000000000005</v>
      </c>
      <c r="C262">
        <v>11</v>
      </c>
      <c r="G262" s="5" t="s">
        <v>89</v>
      </c>
      <c r="H262" s="3">
        <v>2007</v>
      </c>
      <c r="I262" s="5" t="str">
        <f t="shared" si="28"/>
        <v>ras112007</v>
      </c>
      <c r="J262">
        <v>0.6634500000000001</v>
      </c>
      <c r="K262">
        <v>11</v>
      </c>
      <c r="L262">
        <f t="shared" si="27"/>
        <v>6.971350000000001</v>
      </c>
      <c r="M262">
        <v>6.971350000000001</v>
      </c>
    </row>
    <row r="263" spans="1:13" x14ac:dyDescent="0.2">
      <c r="A263" s="3">
        <v>2005</v>
      </c>
      <c r="B263">
        <v>0.83250000000000002</v>
      </c>
      <c r="C263">
        <v>11</v>
      </c>
      <c r="G263" s="5" t="s">
        <v>89</v>
      </c>
      <c r="H263" s="3">
        <v>2008</v>
      </c>
      <c r="I263" s="5" t="str">
        <f t="shared" si="28"/>
        <v>ras112008</v>
      </c>
      <c r="J263">
        <v>0.71894999999999998</v>
      </c>
      <c r="K263">
        <v>11</v>
      </c>
      <c r="L263">
        <f t="shared" si="27"/>
        <v>7.6903000000000006</v>
      </c>
      <c r="M263">
        <v>7.6903000000000006</v>
      </c>
    </row>
    <row r="264" spans="1:13" x14ac:dyDescent="0.2">
      <c r="A264" s="3">
        <v>2006</v>
      </c>
      <c r="B264">
        <v>0.69874999999999998</v>
      </c>
      <c r="C264">
        <v>11</v>
      </c>
      <c r="G264" s="5" t="s">
        <v>89</v>
      </c>
      <c r="H264" s="3">
        <v>2009</v>
      </c>
      <c r="I264" s="5" t="str">
        <f t="shared" si="28"/>
        <v>ras112009</v>
      </c>
      <c r="J264">
        <v>0.96114999999999995</v>
      </c>
      <c r="K264">
        <v>11</v>
      </c>
      <c r="L264">
        <f t="shared" si="27"/>
        <v>8.6514500000000005</v>
      </c>
      <c r="M264">
        <v>8.6514500000000005</v>
      </c>
    </row>
    <row r="265" spans="1:13" x14ac:dyDescent="0.2">
      <c r="A265" s="3">
        <v>2007</v>
      </c>
      <c r="B265">
        <v>0.6634500000000001</v>
      </c>
      <c r="C265">
        <v>11</v>
      </c>
      <c r="G265" s="5" t="s">
        <v>89</v>
      </c>
      <c r="H265" s="3">
        <v>2010</v>
      </c>
      <c r="I265" s="5" t="str">
        <f t="shared" si="28"/>
        <v>ras112010</v>
      </c>
      <c r="J265">
        <v>0.52975000000000005</v>
      </c>
      <c r="K265">
        <v>11</v>
      </c>
      <c r="L265">
        <f t="shared" si="27"/>
        <v>9.1812000000000005</v>
      </c>
      <c r="M265">
        <v>9.1812000000000005</v>
      </c>
    </row>
    <row r="266" spans="1:13" x14ac:dyDescent="0.2">
      <c r="A266" s="3">
        <v>2008</v>
      </c>
      <c r="B266">
        <v>0.71894999999999998</v>
      </c>
      <c r="C266">
        <v>11</v>
      </c>
      <c r="G266" s="5" t="s">
        <v>89</v>
      </c>
      <c r="H266" s="3">
        <v>2011</v>
      </c>
      <c r="I266" s="5" t="str">
        <f t="shared" si="28"/>
        <v>ras112011</v>
      </c>
      <c r="J266">
        <v>0.74415000000000009</v>
      </c>
      <c r="K266">
        <v>11</v>
      </c>
      <c r="L266">
        <f>L267-J267</f>
        <v>9.9253499999999999</v>
      </c>
      <c r="M266">
        <v>9.9253499999999999</v>
      </c>
    </row>
    <row r="267" spans="1:13" x14ac:dyDescent="0.2">
      <c r="A267" s="3">
        <v>2009</v>
      </c>
      <c r="B267">
        <v>0.96114999999999995</v>
      </c>
      <c r="C267">
        <v>11</v>
      </c>
      <c r="G267" s="5" t="s">
        <v>89</v>
      </c>
      <c r="H267" s="3">
        <v>2012</v>
      </c>
      <c r="I267" s="5" t="str">
        <f t="shared" si="28"/>
        <v>ras112012</v>
      </c>
      <c r="J267">
        <v>0.4642</v>
      </c>
      <c r="K267">
        <v>11</v>
      </c>
      <c r="L267">
        <f>K267-J268</f>
        <v>10.38955</v>
      </c>
      <c r="M267">
        <v>10.38955</v>
      </c>
    </row>
    <row r="268" spans="1:13" x14ac:dyDescent="0.2">
      <c r="A268" s="3">
        <v>2010</v>
      </c>
      <c r="B268">
        <v>0.52975000000000005</v>
      </c>
      <c r="C268">
        <v>11</v>
      </c>
      <c r="G268" s="5" t="s">
        <v>89</v>
      </c>
      <c r="H268" s="3">
        <v>2013</v>
      </c>
      <c r="I268" s="5" t="str">
        <f t="shared" si="28"/>
        <v>ras112013</v>
      </c>
      <c r="J268">
        <v>0.61045000000000005</v>
      </c>
      <c r="K268">
        <v>11</v>
      </c>
      <c r="M268">
        <v>11</v>
      </c>
    </row>
    <row r="269" spans="1:13" x14ac:dyDescent="0.2">
      <c r="A269" s="3">
        <v>2011</v>
      </c>
      <c r="B269">
        <v>0.74415000000000009</v>
      </c>
      <c r="C269">
        <v>11</v>
      </c>
      <c r="H269" s="5" t="s">
        <v>92</v>
      </c>
      <c r="I269" s="5" t="str">
        <f t="shared" si="28"/>
        <v>ras12</v>
      </c>
      <c r="J269" s="6">
        <v>0.53335357142857143</v>
      </c>
      <c r="K269" s="6">
        <v>12</v>
      </c>
      <c r="M269">
        <v>12</v>
      </c>
    </row>
    <row r="270" spans="1:13" x14ac:dyDescent="0.2">
      <c r="A270" s="3">
        <v>2012</v>
      </c>
      <c r="B270">
        <v>0.4642</v>
      </c>
      <c r="C270">
        <v>11</v>
      </c>
      <c r="G270" s="5" t="s">
        <v>92</v>
      </c>
      <c r="H270" s="3">
        <v>2000</v>
      </c>
      <c r="I270" s="5" t="str">
        <f t="shared" si="28"/>
        <v>ras122000</v>
      </c>
      <c r="J270">
        <v>0.4667</v>
      </c>
      <c r="K270">
        <v>12</v>
      </c>
      <c r="L270">
        <f t="shared" ref="L270:L280" si="29">L271-J271</f>
        <v>4.9997500000000006</v>
      </c>
      <c r="M270">
        <v>4.9997500000000006</v>
      </c>
    </row>
    <row r="271" spans="1:13" x14ac:dyDescent="0.2">
      <c r="A271" s="3">
        <v>2013</v>
      </c>
      <c r="B271">
        <v>0.61045000000000005</v>
      </c>
      <c r="C271">
        <v>11</v>
      </c>
      <c r="G271" s="5" t="s">
        <v>92</v>
      </c>
      <c r="H271" s="3">
        <v>2001</v>
      </c>
      <c r="I271" s="5" t="str">
        <f t="shared" si="28"/>
        <v>ras122001</v>
      </c>
      <c r="J271">
        <v>0.55245</v>
      </c>
      <c r="K271">
        <v>12</v>
      </c>
      <c r="L271">
        <f t="shared" si="29"/>
        <v>5.5522000000000009</v>
      </c>
      <c r="M271">
        <v>5.5522000000000009</v>
      </c>
    </row>
    <row r="272" spans="1:13" x14ac:dyDescent="0.2">
      <c r="A272" s="2" t="s">
        <v>92</v>
      </c>
      <c r="B272">
        <v>0.53335357142857143</v>
      </c>
      <c r="C272">
        <v>12</v>
      </c>
      <c r="G272" s="5" t="s">
        <v>92</v>
      </c>
      <c r="H272" s="3">
        <v>2002</v>
      </c>
      <c r="I272" s="5" t="str">
        <f t="shared" si="28"/>
        <v>ras122002</v>
      </c>
      <c r="J272">
        <v>0.47425000000000006</v>
      </c>
      <c r="K272">
        <v>12</v>
      </c>
      <c r="L272">
        <f t="shared" si="29"/>
        <v>6.0264500000000005</v>
      </c>
      <c r="M272">
        <v>6.0264500000000005</v>
      </c>
    </row>
    <row r="273" spans="1:13" x14ac:dyDescent="0.2">
      <c r="A273" s="3">
        <v>2000</v>
      </c>
      <c r="B273">
        <v>0.4667</v>
      </c>
      <c r="C273">
        <v>12</v>
      </c>
      <c r="G273" s="5" t="s">
        <v>92</v>
      </c>
      <c r="H273" s="3">
        <v>2003</v>
      </c>
      <c r="I273" s="5" t="str">
        <f t="shared" si="28"/>
        <v>ras122003</v>
      </c>
      <c r="J273">
        <v>0.36575000000000002</v>
      </c>
      <c r="K273">
        <v>12</v>
      </c>
      <c r="L273">
        <f t="shared" si="29"/>
        <v>6.3922000000000008</v>
      </c>
      <c r="M273">
        <v>6.3922000000000008</v>
      </c>
    </row>
    <row r="274" spans="1:13" x14ac:dyDescent="0.2">
      <c r="A274" s="3">
        <v>2001</v>
      </c>
      <c r="B274">
        <v>0.55245</v>
      </c>
      <c r="C274">
        <v>12</v>
      </c>
      <c r="G274" s="5" t="s">
        <v>92</v>
      </c>
      <c r="H274" s="3">
        <v>2004</v>
      </c>
      <c r="I274" s="5" t="str">
        <f t="shared" si="28"/>
        <v>ras122004</v>
      </c>
      <c r="J274">
        <v>0.71645000000000003</v>
      </c>
      <c r="K274">
        <v>12</v>
      </c>
      <c r="L274">
        <f t="shared" si="29"/>
        <v>7.1086500000000008</v>
      </c>
      <c r="M274">
        <v>7.1086500000000008</v>
      </c>
    </row>
    <row r="275" spans="1:13" x14ac:dyDescent="0.2">
      <c r="A275" s="3">
        <v>2002</v>
      </c>
      <c r="B275">
        <v>0.47425000000000006</v>
      </c>
      <c r="C275">
        <v>12</v>
      </c>
      <c r="G275" s="5" t="s">
        <v>92</v>
      </c>
      <c r="H275" s="3">
        <v>2005</v>
      </c>
      <c r="I275" s="5" t="str">
        <f t="shared" si="28"/>
        <v>ras122005</v>
      </c>
      <c r="J275">
        <v>0.46165</v>
      </c>
      <c r="K275">
        <v>12</v>
      </c>
      <c r="L275">
        <f t="shared" si="29"/>
        <v>7.5703000000000005</v>
      </c>
      <c r="M275">
        <v>7.5703000000000005</v>
      </c>
    </row>
    <row r="276" spans="1:13" x14ac:dyDescent="0.2">
      <c r="A276" s="3">
        <v>2003</v>
      </c>
      <c r="B276">
        <v>0.36575000000000002</v>
      </c>
      <c r="C276">
        <v>12</v>
      </c>
      <c r="G276" s="5" t="s">
        <v>92</v>
      </c>
      <c r="H276" s="3">
        <v>2006</v>
      </c>
      <c r="I276" s="5" t="str">
        <f t="shared" si="28"/>
        <v>ras122006</v>
      </c>
      <c r="J276">
        <v>0.57515000000000005</v>
      </c>
      <c r="K276">
        <v>12</v>
      </c>
      <c r="L276">
        <f t="shared" si="29"/>
        <v>8.1454500000000003</v>
      </c>
      <c r="M276">
        <v>8.1454500000000003</v>
      </c>
    </row>
    <row r="277" spans="1:13" x14ac:dyDescent="0.2">
      <c r="A277" s="3">
        <v>2004</v>
      </c>
      <c r="B277">
        <v>0.71645000000000003</v>
      </c>
      <c r="C277">
        <v>12</v>
      </c>
      <c r="G277" s="5" t="s">
        <v>92</v>
      </c>
      <c r="H277" s="3">
        <v>2007</v>
      </c>
      <c r="I277" s="5" t="str">
        <f t="shared" si="28"/>
        <v>ras122007</v>
      </c>
      <c r="J277">
        <v>0.70130000000000003</v>
      </c>
      <c r="K277">
        <v>12</v>
      </c>
      <c r="L277">
        <f t="shared" si="29"/>
        <v>8.8467500000000001</v>
      </c>
      <c r="M277">
        <v>8.8467500000000001</v>
      </c>
    </row>
    <row r="278" spans="1:13" x14ac:dyDescent="0.2">
      <c r="A278" s="3">
        <v>2005</v>
      </c>
      <c r="B278">
        <v>0.46165</v>
      </c>
      <c r="C278">
        <v>12</v>
      </c>
      <c r="G278" s="5" t="s">
        <v>92</v>
      </c>
      <c r="H278" s="3">
        <v>2008</v>
      </c>
      <c r="I278" s="5" t="str">
        <f t="shared" si="28"/>
        <v>ras122008</v>
      </c>
      <c r="J278">
        <v>0.71140000000000003</v>
      </c>
      <c r="K278">
        <v>12</v>
      </c>
      <c r="L278">
        <f t="shared" si="29"/>
        <v>9.5581499999999995</v>
      </c>
      <c r="M278">
        <v>9.5581499999999995</v>
      </c>
    </row>
    <row r="279" spans="1:13" x14ac:dyDescent="0.2">
      <c r="A279" s="3">
        <v>2006</v>
      </c>
      <c r="B279">
        <v>0.57515000000000005</v>
      </c>
      <c r="C279">
        <v>12</v>
      </c>
      <c r="G279" s="5" t="s">
        <v>92</v>
      </c>
      <c r="H279" s="3">
        <v>2009</v>
      </c>
      <c r="I279" s="5" t="str">
        <f t="shared" si="28"/>
        <v>ras122009</v>
      </c>
      <c r="J279">
        <v>0.29259999999999997</v>
      </c>
      <c r="K279">
        <v>12</v>
      </c>
      <c r="L279">
        <f t="shared" si="29"/>
        <v>9.8507499999999997</v>
      </c>
      <c r="M279">
        <v>9.8507499999999997</v>
      </c>
    </row>
    <row r="280" spans="1:13" x14ac:dyDescent="0.2">
      <c r="A280" s="3">
        <v>2007</v>
      </c>
      <c r="B280">
        <v>0.70130000000000003</v>
      </c>
      <c r="C280">
        <v>12</v>
      </c>
      <c r="G280" s="5" t="s">
        <v>92</v>
      </c>
      <c r="H280" s="3">
        <v>2010</v>
      </c>
      <c r="I280" s="5" t="str">
        <f t="shared" si="28"/>
        <v>ras122010</v>
      </c>
      <c r="J280">
        <v>0.55245</v>
      </c>
      <c r="K280">
        <v>12</v>
      </c>
      <c r="L280">
        <f t="shared" si="29"/>
        <v>10.4032</v>
      </c>
      <c r="M280">
        <v>10.4032</v>
      </c>
    </row>
    <row r="281" spans="1:13" x14ac:dyDescent="0.2">
      <c r="A281" s="3">
        <v>2008</v>
      </c>
      <c r="B281">
        <v>0.71140000000000003</v>
      </c>
      <c r="C281">
        <v>12</v>
      </c>
      <c r="G281" s="5" t="s">
        <v>92</v>
      </c>
      <c r="H281" s="3">
        <v>2011</v>
      </c>
      <c r="I281" s="5" t="str">
        <f t="shared" si="28"/>
        <v>ras122011</v>
      </c>
      <c r="J281">
        <v>0.47930000000000006</v>
      </c>
      <c r="K281">
        <v>12</v>
      </c>
      <c r="L281">
        <f>L282-J282</f>
        <v>10.8825</v>
      </c>
      <c r="M281">
        <v>10.8825</v>
      </c>
    </row>
    <row r="282" spans="1:13" x14ac:dyDescent="0.2">
      <c r="A282" s="3">
        <v>2009</v>
      </c>
      <c r="B282">
        <v>0.29259999999999997</v>
      </c>
      <c r="C282">
        <v>12</v>
      </c>
      <c r="G282" s="5" t="s">
        <v>92</v>
      </c>
      <c r="H282" s="3">
        <v>2012</v>
      </c>
      <c r="I282" s="5" t="str">
        <f t="shared" si="28"/>
        <v>ras122012</v>
      </c>
      <c r="J282">
        <v>0.60539999999999994</v>
      </c>
      <c r="K282">
        <v>12</v>
      </c>
      <c r="L282">
        <f>K282-J283</f>
        <v>11.4879</v>
      </c>
      <c r="M282">
        <v>11.4879</v>
      </c>
    </row>
    <row r="283" spans="1:13" x14ac:dyDescent="0.2">
      <c r="A283" s="3">
        <v>2010</v>
      </c>
      <c r="B283">
        <v>0.55245</v>
      </c>
      <c r="C283">
        <v>12</v>
      </c>
      <c r="G283" s="5" t="s">
        <v>92</v>
      </c>
      <c r="H283" s="3">
        <v>2013</v>
      </c>
      <c r="I283" s="5" t="str">
        <f t="shared" si="28"/>
        <v>ras122013</v>
      </c>
      <c r="J283">
        <v>0.5121</v>
      </c>
      <c r="K283">
        <v>12</v>
      </c>
      <c r="M283">
        <v>12</v>
      </c>
    </row>
    <row r="284" spans="1:13" x14ac:dyDescent="0.2">
      <c r="A284" s="3">
        <v>2011</v>
      </c>
      <c r="B284">
        <v>0.47930000000000006</v>
      </c>
      <c r="C284">
        <v>12</v>
      </c>
      <c r="H284" s="5" t="s">
        <v>95</v>
      </c>
      <c r="I284" s="5" t="str">
        <f t="shared" si="28"/>
        <v>ras13</v>
      </c>
      <c r="J284" s="6">
        <v>0.52447727272727274</v>
      </c>
      <c r="K284" s="6">
        <v>8.5</v>
      </c>
      <c r="M284">
        <v>8.5</v>
      </c>
    </row>
    <row r="285" spans="1:13" x14ac:dyDescent="0.2">
      <c r="A285" s="3">
        <v>2012</v>
      </c>
      <c r="B285">
        <v>0.60539999999999994</v>
      </c>
      <c r="C285">
        <v>12</v>
      </c>
      <c r="G285" s="5" t="s">
        <v>95</v>
      </c>
      <c r="H285" s="3">
        <v>2002</v>
      </c>
      <c r="I285" s="5" t="str">
        <f t="shared" si="28"/>
        <v>ras132002</v>
      </c>
      <c r="J285">
        <v>0.30270000000000002</v>
      </c>
      <c r="K285">
        <v>8.5</v>
      </c>
      <c r="L285">
        <f t="shared" ref="L285:L293" si="30">L286-J286</f>
        <v>2.6424499999999993</v>
      </c>
      <c r="M285">
        <v>2.6424499999999993</v>
      </c>
    </row>
    <row r="286" spans="1:13" x14ac:dyDescent="0.2">
      <c r="A286" s="3">
        <v>2013</v>
      </c>
      <c r="B286">
        <v>0.5121</v>
      </c>
      <c r="C286">
        <v>12</v>
      </c>
      <c r="G286" s="5" t="s">
        <v>95</v>
      </c>
      <c r="H286" s="3">
        <v>2003</v>
      </c>
      <c r="I286" s="5" t="str">
        <f t="shared" si="28"/>
        <v>ras132003</v>
      </c>
      <c r="J286">
        <v>0.4793</v>
      </c>
      <c r="K286">
        <v>8.5</v>
      </c>
      <c r="L286">
        <f t="shared" si="30"/>
        <v>3.1217499999999991</v>
      </c>
      <c r="M286">
        <v>3.1217499999999991</v>
      </c>
    </row>
    <row r="287" spans="1:13" x14ac:dyDescent="0.2">
      <c r="A287" s="2" t="s">
        <v>95</v>
      </c>
      <c r="B287">
        <v>0.52447727272727274</v>
      </c>
      <c r="C287">
        <v>8.5</v>
      </c>
      <c r="G287" s="5" t="s">
        <v>95</v>
      </c>
      <c r="H287" s="3">
        <v>2004</v>
      </c>
      <c r="I287" s="5" t="str">
        <f t="shared" si="28"/>
        <v>ras132004</v>
      </c>
      <c r="J287">
        <v>0.50205</v>
      </c>
      <c r="K287">
        <v>8.5</v>
      </c>
      <c r="L287">
        <f t="shared" si="30"/>
        <v>3.6237999999999992</v>
      </c>
      <c r="M287">
        <v>3.6237999999999992</v>
      </c>
    </row>
    <row r="288" spans="1:13" x14ac:dyDescent="0.2">
      <c r="A288" s="3">
        <v>2002</v>
      </c>
      <c r="B288">
        <v>0.30270000000000002</v>
      </c>
      <c r="C288">
        <v>8.5</v>
      </c>
      <c r="G288" s="5" t="s">
        <v>95</v>
      </c>
      <c r="H288" s="3">
        <v>2005</v>
      </c>
      <c r="I288" s="5" t="str">
        <f t="shared" si="28"/>
        <v>ras132005</v>
      </c>
      <c r="J288">
        <v>0.52470000000000006</v>
      </c>
      <c r="K288">
        <v>8.5</v>
      </c>
      <c r="L288">
        <f t="shared" si="30"/>
        <v>4.1484999999999994</v>
      </c>
      <c r="M288">
        <v>4.1484999999999994</v>
      </c>
    </row>
    <row r="289" spans="1:13" x14ac:dyDescent="0.2">
      <c r="A289" s="3">
        <v>2003</v>
      </c>
      <c r="B289">
        <v>0.4793</v>
      </c>
      <c r="C289">
        <v>8.5</v>
      </c>
      <c r="G289" s="5" t="s">
        <v>95</v>
      </c>
      <c r="H289" s="3">
        <v>2006</v>
      </c>
      <c r="I289" s="5" t="str">
        <f t="shared" si="28"/>
        <v>ras132006</v>
      </c>
      <c r="J289">
        <v>0.39855000000000002</v>
      </c>
      <c r="K289">
        <v>8.5</v>
      </c>
      <c r="L289">
        <f t="shared" si="30"/>
        <v>4.5470499999999996</v>
      </c>
      <c r="M289">
        <v>4.5470499999999996</v>
      </c>
    </row>
    <row r="290" spans="1:13" x14ac:dyDescent="0.2">
      <c r="A290" s="3">
        <v>2004</v>
      </c>
      <c r="B290">
        <v>0.50205</v>
      </c>
      <c r="C290">
        <v>8.5</v>
      </c>
      <c r="G290" s="5" t="s">
        <v>95</v>
      </c>
      <c r="H290" s="3">
        <v>2007</v>
      </c>
      <c r="I290" s="5" t="str">
        <f t="shared" si="28"/>
        <v>ras132007</v>
      </c>
      <c r="J290">
        <v>0.50455000000000005</v>
      </c>
      <c r="K290">
        <v>8.5</v>
      </c>
      <c r="L290">
        <f t="shared" si="30"/>
        <v>5.0515999999999996</v>
      </c>
      <c r="M290">
        <v>5.0515999999999996</v>
      </c>
    </row>
    <row r="291" spans="1:13" x14ac:dyDescent="0.2">
      <c r="A291" s="3">
        <v>2005</v>
      </c>
      <c r="B291">
        <v>0.52470000000000006</v>
      </c>
      <c r="C291">
        <v>8.5</v>
      </c>
      <c r="G291" s="5" t="s">
        <v>95</v>
      </c>
      <c r="H291" s="3">
        <v>2008</v>
      </c>
      <c r="I291" s="5" t="str">
        <f t="shared" si="28"/>
        <v>ras132008</v>
      </c>
      <c r="J291">
        <v>0.50450000000000006</v>
      </c>
      <c r="K291">
        <v>8.5</v>
      </c>
      <c r="L291">
        <f t="shared" si="30"/>
        <v>5.5560999999999998</v>
      </c>
      <c r="M291">
        <v>5.5560999999999998</v>
      </c>
    </row>
    <row r="292" spans="1:13" x14ac:dyDescent="0.2">
      <c r="A292" s="3">
        <v>2006</v>
      </c>
      <c r="B292">
        <v>0.39855000000000002</v>
      </c>
      <c r="C292">
        <v>8.5</v>
      </c>
      <c r="G292" s="5" t="s">
        <v>95</v>
      </c>
      <c r="H292" s="3">
        <v>2009</v>
      </c>
      <c r="I292" s="5" t="str">
        <f t="shared" si="28"/>
        <v>ras132009</v>
      </c>
      <c r="J292">
        <v>0.33050000000000002</v>
      </c>
      <c r="K292">
        <v>8.5</v>
      </c>
      <c r="L292">
        <f t="shared" si="30"/>
        <v>5.8865999999999996</v>
      </c>
      <c r="M292">
        <v>5.8865999999999996</v>
      </c>
    </row>
    <row r="293" spans="1:13" x14ac:dyDescent="0.2">
      <c r="A293" s="3">
        <v>2007</v>
      </c>
      <c r="B293">
        <v>0.50455000000000005</v>
      </c>
      <c r="C293">
        <v>8.5</v>
      </c>
      <c r="G293" s="5" t="s">
        <v>95</v>
      </c>
      <c r="H293" s="3">
        <v>2010</v>
      </c>
      <c r="I293" s="5" t="str">
        <f t="shared" si="28"/>
        <v>ras132010</v>
      </c>
      <c r="J293">
        <v>0.7088000000000001</v>
      </c>
      <c r="K293">
        <v>8.5</v>
      </c>
      <c r="L293">
        <f t="shared" si="30"/>
        <v>6.5953999999999997</v>
      </c>
      <c r="M293">
        <v>6.5953999999999997</v>
      </c>
    </row>
    <row r="294" spans="1:13" x14ac:dyDescent="0.2">
      <c r="A294" s="3">
        <v>2008</v>
      </c>
      <c r="B294">
        <v>0.50450000000000006</v>
      </c>
      <c r="C294">
        <v>8.5</v>
      </c>
      <c r="G294" s="5" t="s">
        <v>95</v>
      </c>
      <c r="H294" s="3">
        <v>2011</v>
      </c>
      <c r="I294" s="5" t="str">
        <f t="shared" si="28"/>
        <v>ras132011</v>
      </c>
      <c r="J294">
        <v>0.62309999999999999</v>
      </c>
      <c r="K294">
        <v>8.5</v>
      </c>
      <c r="L294">
        <f>L295-J295</f>
        <v>7.2184999999999997</v>
      </c>
      <c r="M294">
        <v>7.2184999999999997</v>
      </c>
    </row>
    <row r="295" spans="1:13" x14ac:dyDescent="0.2">
      <c r="A295" s="3">
        <v>2009</v>
      </c>
      <c r="B295">
        <v>0.33050000000000002</v>
      </c>
      <c r="C295">
        <v>8.5</v>
      </c>
      <c r="G295" s="5" t="s">
        <v>95</v>
      </c>
      <c r="H295" s="3">
        <v>2012</v>
      </c>
      <c r="I295" s="5" t="str">
        <f t="shared" si="28"/>
        <v>ras132012</v>
      </c>
      <c r="J295">
        <v>0.59284999999999999</v>
      </c>
      <c r="K295">
        <v>8.5</v>
      </c>
      <c r="L295">
        <f>K295-J296</f>
        <v>7.81135</v>
      </c>
      <c r="M295">
        <v>7.81135</v>
      </c>
    </row>
    <row r="296" spans="1:13" x14ac:dyDescent="0.2">
      <c r="A296" s="3">
        <v>2010</v>
      </c>
      <c r="B296">
        <v>0.7088000000000001</v>
      </c>
      <c r="C296">
        <v>8.5</v>
      </c>
      <c r="G296" s="5" t="s">
        <v>95</v>
      </c>
      <c r="H296" s="3">
        <v>2013</v>
      </c>
      <c r="I296" s="5" t="str">
        <f t="shared" si="28"/>
        <v>ras132013</v>
      </c>
      <c r="J296">
        <v>0.68864999999999998</v>
      </c>
      <c r="K296">
        <v>8.5</v>
      </c>
      <c r="M296">
        <v>8.5</v>
      </c>
    </row>
    <row r="297" spans="1:13" x14ac:dyDescent="0.2">
      <c r="A297" s="3">
        <v>2011</v>
      </c>
      <c r="B297">
        <v>0.62309999999999999</v>
      </c>
      <c r="C297">
        <v>8.5</v>
      </c>
      <c r="H297" s="5" t="s">
        <v>98</v>
      </c>
      <c r="I297" s="5" t="str">
        <f t="shared" si="28"/>
        <v>ras15</v>
      </c>
      <c r="J297" s="6">
        <v>0.49316999999999994</v>
      </c>
      <c r="K297" s="6">
        <v>6</v>
      </c>
      <c r="M297">
        <v>6</v>
      </c>
    </row>
    <row r="298" spans="1:13" x14ac:dyDescent="0.2">
      <c r="A298" s="3">
        <v>2012</v>
      </c>
      <c r="B298">
        <v>0.59284999999999999</v>
      </c>
      <c r="C298">
        <v>8.5</v>
      </c>
      <c r="G298" s="5" t="s">
        <v>98</v>
      </c>
      <c r="H298" s="3">
        <v>2004</v>
      </c>
      <c r="I298" s="5" t="str">
        <f t="shared" si="28"/>
        <v>ras152004</v>
      </c>
      <c r="J298">
        <v>0.35315000000000002</v>
      </c>
      <c r="K298">
        <v>6</v>
      </c>
      <c r="L298">
        <f t="shared" ref="L298:L304" si="31">L299-J299</f>
        <v>1.4214500000000003</v>
      </c>
      <c r="M298">
        <v>1.4214500000000003</v>
      </c>
    </row>
    <row r="299" spans="1:13" x14ac:dyDescent="0.2">
      <c r="A299" s="3">
        <v>2013</v>
      </c>
      <c r="B299">
        <v>0.68864999999999998</v>
      </c>
      <c r="C299">
        <v>8.5</v>
      </c>
      <c r="G299" s="5" t="s">
        <v>98</v>
      </c>
      <c r="H299" s="3">
        <v>2005</v>
      </c>
      <c r="I299" s="5" t="str">
        <f t="shared" si="28"/>
        <v>ras152005</v>
      </c>
      <c r="J299">
        <v>0.68110000000000004</v>
      </c>
      <c r="K299">
        <v>6</v>
      </c>
      <c r="L299">
        <f t="shared" si="31"/>
        <v>2.1025500000000004</v>
      </c>
      <c r="M299">
        <v>2.1025500000000004</v>
      </c>
    </row>
    <row r="300" spans="1:13" x14ac:dyDescent="0.2">
      <c r="A300" s="2" t="s">
        <v>98</v>
      </c>
      <c r="B300">
        <v>0.49316999999999994</v>
      </c>
      <c r="C300">
        <v>6</v>
      </c>
      <c r="G300" s="5" t="s">
        <v>98</v>
      </c>
      <c r="H300" s="3">
        <v>2006</v>
      </c>
      <c r="I300" s="5" t="str">
        <f t="shared" si="28"/>
        <v>ras152006</v>
      </c>
      <c r="J300">
        <v>0.45155000000000001</v>
      </c>
      <c r="K300">
        <v>6</v>
      </c>
      <c r="L300">
        <f t="shared" si="31"/>
        <v>2.5541000000000005</v>
      </c>
      <c r="M300">
        <v>2.5541000000000005</v>
      </c>
    </row>
    <row r="301" spans="1:13" x14ac:dyDescent="0.2">
      <c r="A301" s="3">
        <v>2004</v>
      </c>
      <c r="B301">
        <v>0.35315000000000002</v>
      </c>
      <c r="C301">
        <v>6</v>
      </c>
      <c r="G301" s="5" t="s">
        <v>98</v>
      </c>
      <c r="H301" s="3">
        <v>2007</v>
      </c>
      <c r="I301" s="5" t="str">
        <f t="shared" si="28"/>
        <v>ras152007</v>
      </c>
      <c r="J301">
        <v>0.28255000000000002</v>
      </c>
      <c r="K301">
        <v>6</v>
      </c>
      <c r="L301">
        <f t="shared" si="31"/>
        <v>2.8366500000000006</v>
      </c>
      <c r="M301">
        <v>2.8366500000000006</v>
      </c>
    </row>
    <row r="302" spans="1:13" x14ac:dyDescent="0.2">
      <c r="A302" s="3">
        <v>2005</v>
      </c>
      <c r="B302">
        <v>0.68110000000000004</v>
      </c>
      <c r="C302">
        <v>6</v>
      </c>
      <c r="G302" s="5" t="s">
        <v>98</v>
      </c>
      <c r="H302" s="3">
        <v>2008</v>
      </c>
      <c r="I302" s="5" t="str">
        <f t="shared" si="28"/>
        <v>ras152008</v>
      </c>
      <c r="J302">
        <v>0.5474</v>
      </c>
      <c r="K302">
        <v>6</v>
      </c>
      <c r="L302">
        <f t="shared" si="31"/>
        <v>3.3840500000000007</v>
      </c>
      <c r="M302">
        <v>3.3840500000000007</v>
      </c>
    </row>
    <row r="303" spans="1:13" x14ac:dyDescent="0.2">
      <c r="A303" s="3">
        <v>2006</v>
      </c>
      <c r="B303">
        <v>0.45155000000000001</v>
      </c>
      <c r="C303">
        <v>6</v>
      </c>
      <c r="G303" s="5" t="s">
        <v>98</v>
      </c>
      <c r="H303" s="3">
        <v>2009</v>
      </c>
      <c r="I303" s="5" t="str">
        <f t="shared" si="28"/>
        <v>ras152009</v>
      </c>
      <c r="J303">
        <v>0.60040000000000004</v>
      </c>
      <c r="K303">
        <v>6</v>
      </c>
      <c r="L303">
        <f t="shared" si="31"/>
        <v>3.9844500000000007</v>
      </c>
      <c r="M303">
        <v>3.9844500000000007</v>
      </c>
    </row>
    <row r="304" spans="1:13" x14ac:dyDescent="0.2">
      <c r="A304" s="3">
        <v>2007</v>
      </c>
      <c r="B304">
        <v>0.28255000000000002</v>
      </c>
      <c r="C304">
        <v>6</v>
      </c>
      <c r="G304" s="5" t="s">
        <v>98</v>
      </c>
      <c r="H304" s="3">
        <v>2010</v>
      </c>
      <c r="I304" s="5" t="str">
        <f t="shared" si="28"/>
        <v>ras152010</v>
      </c>
      <c r="J304">
        <v>0.72899999999999998</v>
      </c>
      <c r="K304">
        <v>6</v>
      </c>
      <c r="L304">
        <f t="shared" si="31"/>
        <v>4.7134500000000008</v>
      </c>
      <c r="M304">
        <v>4.7134500000000008</v>
      </c>
    </row>
    <row r="305" spans="1:13" x14ac:dyDescent="0.2">
      <c r="A305" s="3">
        <v>2008</v>
      </c>
      <c r="B305">
        <v>0.5474</v>
      </c>
      <c r="C305">
        <v>6</v>
      </c>
      <c r="G305" s="5" t="s">
        <v>98</v>
      </c>
      <c r="H305" s="3">
        <v>2011</v>
      </c>
      <c r="I305" s="5" t="str">
        <f t="shared" si="28"/>
        <v>ras152011</v>
      </c>
      <c r="J305">
        <v>0.41625000000000001</v>
      </c>
      <c r="K305">
        <v>6</v>
      </c>
      <c r="L305">
        <f>L306-J306</f>
        <v>5.1297000000000006</v>
      </c>
      <c r="M305">
        <v>5.1297000000000006</v>
      </c>
    </row>
    <row r="306" spans="1:13" x14ac:dyDescent="0.2">
      <c r="A306" s="3">
        <v>2009</v>
      </c>
      <c r="B306">
        <v>0.60040000000000004</v>
      </c>
      <c r="C306">
        <v>6</v>
      </c>
      <c r="G306" s="5" t="s">
        <v>98</v>
      </c>
      <c r="H306" s="3">
        <v>2012</v>
      </c>
      <c r="I306" s="5" t="str">
        <f t="shared" si="28"/>
        <v>ras152012</v>
      </c>
      <c r="J306">
        <v>0.44145000000000001</v>
      </c>
      <c r="K306">
        <v>6</v>
      </c>
      <c r="L306">
        <f>K306-J307</f>
        <v>5.5711500000000003</v>
      </c>
      <c r="M306">
        <v>5.5711500000000003</v>
      </c>
    </row>
    <row r="307" spans="1:13" x14ac:dyDescent="0.2">
      <c r="A307" s="3">
        <v>2010</v>
      </c>
      <c r="B307">
        <v>0.72899999999999998</v>
      </c>
      <c r="C307">
        <v>6</v>
      </c>
      <c r="G307" s="5" t="s">
        <v>98</v>
      </c>
      <c r="H307" s="3">
        <v>2013</v>
      </c>
      <c r="I307" s="5" t="str">
        <f t="shared" si="28"/>
        <v>ras152013</v>
      </c>
      <c r="J307">
        <v>0.42885000000000006</v>
      </c>
      <c r="K307">
        <v>6</v>
      </c>
      <c r="M307">
        <v>6</v>
      </c>
    </row>
    <row r="308" spans="1:13" x14ac:dyDescent="0.2">
      <c r="A308" s="3">
        <v>2011</v>
      </c>
      <c r="B308">
        <v>0.41625000000000001</v>
      </c>
      <c r="C308">
        <v>6</v>
      </c>
      <c r="H308" s="5" t="s">
        <v>101</v>
      </c>
      <c r="I308" s="5" t="str">
        <f t="shared" si="28"/>
        <v>ras16</v>
      </c>
      <c r="J308" s="6">
        <v>0.51714090909090915</v>
      </c>
      <c r="K308" s="6">
        <v>7</v>
      </c>
      <c r="M308">
        <v>7</v>
      </c>
    </row>
    <row r="309" spans="1:13" x14ac:dyDescent="0.2">
      <c r="A309" s="3">
        <v>2012</v>
      </c>
      <c r="B309">
        <v>0.44145000000000001</v>
      </c>
      <c r="C309">
        <v>6</v>
      </c>
      <c r="G309" s="5" t="s">
        <v>101</v>
      </c>
      <c r="H309" s="3">
        <v>2003</v>
      </c>
      <c r="I309" s="5" t="str">
        <f t="shared" si="28"/>
        <v>ras162003</v>
      </c>
      <c r="J309">
        <v>0.57769999999999999</v>
      </c>
      <c r="K309">
        <v>7</v>
      </c>
      <c r="L309">
        <f t="shared" ref="L309:L316" si="32">L310-J310</f>
        <v>1.8891499999999994</v>
      </c>
      <c r="M309">
        <v>1.8891499999999994</v>
      </c>
    </row>
    <row r="310" spans="1:13" x14ac:dyDescent="0.2">
      <c r="A310" s="3">
        <v>2013</v>
      </c>
      <c r="B310">
        <v>0.42885000000000006</v>
      </c>
      <c r="C310">
        <v>6</v>
      </c>
      <c r="G310" s="5" t="s">
        <v>101</v>
      </c>
      <c r="H310" s="3">
        <v>2004</v>
      </c>
      <c r="I310" s="5" t="str">
        <f t="shared" si="28"/>
        <v>ras162004</v>
      </c>
      <c r="J310">
        <v>0.48185</v>
      </c>
      <c r="K310">
        <v>7</v>
      </c>
      <c r="L310">
        <f t="shared" si="32"/>
        <v>2.3709999999999996</v>
      </c>
      <c r="M310">
        <v>2.3709999999999996</v>
      </c>
    </row>
    <row r="311" spans="1:13" x14ac:dyDescent="0.2">
      <c r="A311" s="2" t="s">
        <v>101</v>
      </c>
      <c r="B311">
        <v>0.51714090909090915</v>
      </c>
      <c r="C311">
        <v>7</v>
      </c>
      <c r="G311" s="5" t="s">
        <v>101</v>
      </c>
      <c r="H311" s="3">
        <v>2005</v>
      </c>
      <c r="I311" s="5" t="str">
        <f t="shared" si="28"/>
        <v>ras162005</v>
      </c>
      <c r="J311">
        <v>0.5575</v>
      </c>
      <c r="K311">
        <v>7</v>
      </c>
      <c r="L311">
        <f t="shared" si="32"/>
        <v>2.9284999999999997</v>
      </c>
      <c r="M311">
        <v>2.9284999999999997</v>
      </c>
    </row>
    <row r="312" spans="1:13" x14ac:dyDescent="0.2">
      <c r="A312" s="3">
        <v>2003</v>
      </c>
      <c r="B312">
        <v>0.57769999999999999</v>
      </c>
      <c r="C312">
        <v>7</v>
      </c>
      <c r="G312" s="5" t="s">
        <v>101</v>
      </c>
      <c r="H312" s="3">
        <v>2006</v>
      </c>
      <c r="I312" s="5" t="str">
        <f t="shared" si="28"/>
        <v>ras162006</v>
      </c>
      <c r="J312">
        <v>0.61550000000000005</v>
      </c>
      <c r="K312">
        <v>7</v>
      </c>
      <c r="L312">
        <f t="shared" si="32"/>
        <v>3.5439999999999996</v>
      </c>
      <c r="M312">
        <v>3.5439999999999996</v>
      </c>
    </row>
    <row r="313" spans="1:13" x14ac:dyDescent="0.2">
      <c r="A313" s="3">
        <v>2004</v>
      </c>
      <c r="B313">
        <v>0.48185</v>
      </c>
      <c r="C313">
        <v>7</v>
      </c>
      <c r="G313" s="5" t="s">
        <v>101</v>
      </c>
      <c r="H313" s="3">
        <v>2007</v>
      </c>
      <c r="I313" s="5" t="str">
        <f t="shared" si="28"/>
        <v>ras162007</v>
      </c>
      <c r="J313">
        <v>0.56505000000000005</v>
      </c>
      <c r="K313">
        <v>7</v>
      </c>
      <c r="L313">
        <f t="shared" si="32"/>
        <v>4.1090499999999999</v>
      </c>
      <c r="M313">
        <v>4.1090499999999999</v>
      </c>
    </row>
    <row r="314" spans="1:13" x14ac:dyDescent="0.2">
      <c r="A314" s="3">
        <v>2005</v>
      </c>
      <c r="B314">
        <v>0.5575</v>
      </c>
      <c r="C314">
        <v>7</v>
      </c>
      <c r="G314" s="5" t="s">
        <v>101</v>
      </c>
      <c r="H314" s="3">
        <v>2008</v>
      </c>
      <c r="I314" s="5" t="str">
        <f t="shared" si="28"/>
        <v>ras162008</v>
      </c>
      <c r="J314">
        <v>0.31280000000000002</v>
      </c>
      <c r="K314">
        <v>7</v>
      </c>
      <c r="L314">
        <f t="shared" si="32"/>
        <v>4.4218500000000001</v>
      </c>
      <c r="M314">
        <v>4.4218500000000001</v>
      </c>
    </row>
    <row r="315" spans="1:13" x14ac:dyDescent="0.2">
      <c r="A315" s="3">
        <v>2006</v>
      </c>
      <c r="B315">
        <v>0.61550000000000005</v>
      </c>
      <c r="C315">
        <v>7</v>
      </c>
      <c r="G315" s="5" t="s">
        <v>101</v>
      </c>
      <c r="H315" s="3">
        <v>2009</v>
      </c>
      <c r="I315" s="5" t="str">
        <f t="shared" si="28"/>
        <v>ras162009</v>
      </c>
      <c r="J315">
        <v>0.41875000000000001</v>
      </c>
      <c r="K315">
        <v>7</v>
      </c>
      <c r="L315">
        <f t="shared" si="32"/>
        <v>4.8406000000000002</v>
      </c>
      <c r="M315">
        <v>4.8406000000000002</v>
      </c>
    </row>
    <row r="316" spans="1:13" x14ac:dyDescent="0.2">
      <c r="A316" s="3">
        <v>2007</v>
      </c>
      <c r="B316">
        <v>0.56505000000000005</v>
      </c>
      <c r="C316">
        <v>7</v>
      </c>
      <c r="G316" s="5" t="s">
        <v>101</v>
      </c>
      <c r="H316" s="3">
        <v>2010</v>
      </c>
      <c r="I316" s="5" t="str">
        <f t="shared" si="28"/>
        <v>ras162010</v>
      </c>
      <c r="J316">
        <v>0.67105000000000004</v>
      </c>
      <c r="K316">
        <v>7</v>
      </c>
      <c r="L316">
        <f t="shared" si="32"/>
        <v>5.5116500000000004</v>
      </c>
      <c r="M316">
        <v>5.5116500000000004</v>
      </c>
    </row>
    <row r="317" spans="1:13" x14ac:dyDescent="0.2">
      <c r="A317" s="3">
        <v>2008</v>
      </c>
      <c r="B317">
        <v>0.31280000000000002</v>
      </c>
      <c r="C317">
        <v>7</v>
      </c>
      <c r="G317" s="5" t="s">
        <v>101</v>
      </c>
      <c r="H317" s="3">
        <v>2011</v>
      </c>
      <c r="I317" s="5" t="str">
        <f t="shared" si="28"/>
        <v>ras162011</v>
      </c>
      <c r="J317">
        <v>0.64070000000000005</v>
      </c>
      <c r="K317">
        <v>7</v>
      </c>
      <c r="L317">
        <f>L318-J318</f>
        <v>6.1523500000000002</v>
      </c>
      <c r="M317">
        <v>6.1523500000000002</v>
      </c>
    </row>
    <row r="318" spans="1:13" x14ac:dyDescent="0.2">
      <c r="A318" s="3">
        <v>2009</v>
      </c>
      <c r="B318">
        <v>0.41875000000000001</v>
      </c>
      <c r="C318">
        <v>7</v>
      </c>
      <c r="G318" s="5" t="s">
        <v>101</v>
      </c>
      <c r="H318" s="3">
        <v>2012</v>
      </c>
      <c r="I318" s="5" t="str">
        <f t="shared" si="28"/>
        <v>ras162012</v>
      </c>
      <c r="J318">
        <v>0.48940000000000006</v>
      </c>
      <c r="K318">
        <v>7</v>
      </c>
      <c r="L318">
        <f>K318-J319</f>
        <v>6.64175</v>
      </c>
      <c r="M318">
        <v>6.64175</v>
      </c>
    </row>
    <row r="319" spans="1:13" x14ac:dyDescent="0.2">
      <c r="A319" s="3">
        <v>2010</v>
      </c>
      <c r="B319">
        <v>0.67105000000000004</v>
      </c>
      <c r="C319">
        <v>7</v>
      </c>
      <c r="G319" s="5" t="s">
        <v>101</v>
      </c>
      <c r="H319" s="3">
        <v>2013</v>
      </c>
      <c r="I319" s="5" t="str">
        <f t="shared" si="28"/>
        <v>ras162013</v>
      </c>
      <c r="J319">
        <v>0.35825000000000001</v>
      </c>
      <c r="K319">
        <v>7</v>
      </c>
      <c r="M319">
        <v>7</v>
      </c>
    </row>
    <row r="320" spans="1:13" x14ac:dyDescent="0.2">
      <c r="A320" s="3">
        <v>2011</v>
      </c>
      <c r="B320">
        <v>0.64070000000000005</v>
      </c>
      <c r="C320">
        <v>7</v>
      </c>
      <c r="H320" s="5" t="s">
        <v>104</v>
      </c>
      <c r="I320" s="5" t="str">
        <f t="shared" si="28"/>
        <v>ras21</v>
      </c>
      <c r="J320" s="6">
        <v>0.51317142857142861</v>
      </c>
      <c r="K320" s="6">
        <v>8.5</v>
      </c>
      <c r="M320">
        <v>8.5</v>
      </c>
    </row>
    <row r="321" spans="1:13" x14ac:dyDescent="0.2">
      <c r="A321" s="3">
        <v>2012</v>
      </c>
      <c r="B321">
        <v>0.48940000000000006</v>
      </c>
      <c r="C321">
        <v>7</v>
      </c>
      <c r="G321" s="5" t="s">
        <v>104</v>
      </c>
      <c r="H321" s="3">
        <v>2003</v>
      </c>
      <c r="I321" s="5" t="str">
        <f t="shared" si="28"/>
        <v>ras212003</v>
      </c>
      <c r="J321">
        <v>0.51459999999999995</v>
      </c>
      <c r="K321">
        <v>8.5</v>
      </c>
      <c r="L321">
        <f t="shared" ref="L321:L328" si="33">L322-J322</f>
        <v>3.3690000000000011</v>
      </c>
      <c r="M321">
        <v>3.3690000000000011</v>
      </c>
    </row>
    <row r="322" spans="1:13" x14ac:dyDescent="0.2">
      <c r="A322" s="3">
        <v>2013</v>
      </c>
      <c r="B322">
        <v>0.35825000000000001</v>
      </c>
      <c r="C322">
        <v>7</v>
      </c>
      <c r="G322" s="5" t="s">
        <v>104</v>
      </c>
      <c r="H322" s="3">
        <v>2004</v>
      </c>
      <c r="I322" s="5" t="str">
        <f t="shared" ref="I322:I385" si="34">CONCATENATE(G322,H322)</f>
        <v>ras212004</v>
      </c>
      <c r="J322">
        <v>0.48945</v>
      </c>
      <c r="K322">
        <v>8.5</v>
      </c>
      <c r="L322">
        <f t="shared" si="33"/>
        <v>3.8584500000000013</v>
      </c>
      <c r="M322">
        <v>3.8584500000000013</v>
      </c>
    </row>
    <row r="323" spans="1:13" x14ac:dyDescent="0.2">
      <c r="A323" s="2" t="s">
        <v>104</v>
      </c>
      <c r="B323">
        <v>0.51317142857142861</v>
      </c>
      <c r="C323">
        <v>8.5</v>
      </c>
      <c r="G323" s="5" t="s">
        <v>104</v>
      </c>
      <c r="H323" s="3">
        <v>2005</v>
      </c>
      <c r="I323" s="5" t="str">
        <f t="shared" si="34"/>
        <v>ras212005</v>
      </c>
      <c r="J323">
        <v>0.57510000000000006</v>
      </c>
      <c r="K323">
        <v>8.5</v>
      </c>
      <c r="L323">
        <f t="shared" si="33"/>
        <v>4.4335500000000012</v>
      </c>
      <c r="M323">
        <v>4.4335500000000012</v>
      </c>
    </row>
    <row r="324" spans="1:13" x14ac:dyDescent="0.2">
      <c r="A324" s="3">
        <v>2003</v>
      </c>
      <c r="B324">
        <v>0.51459999999999995</v>
      </c>
      <c r="C324">
        <v>8.5</v>
      </c>
      <c r="G324" s="5" t="s">
        <v>104</v>
      </c>
      <c r="H324" s="3">
        <v>2006</v>
      </c>
      <c r="I324" s="5" t="str">
        <f t="shared" si="34"/>
        <v>ras212006</v>
      </c>
      <c r="J324">
        <v>0.49444999999999995</v>
      </c>
      <c r="K324">
        <v>8.5</v>
      </c>
      <c r="L324">
        <f t="shared" si="33"/>
        <v>4.9280000000000008</v>
      </c>
      <c r="M324">
        <v>4.9280000000000008</v>
      </c>
    </row>
    <row r="325" spans="1:13" x14ac:dyDescent="0.2">
      <c r="A325" s="3">
        <v>2004</v>
      </c>
      <c r="B325">
        <v>0.48945</v>
      </c>
      <c r="C325">
        <v>8.5</v>
      </c>
      <c r="G325" s="5" t="s">
        <v>104</v>
      </c>
      <c r="H325" s="3">
        <v>2007</v>
      </c>
      <c r="I325" s="5" t="str">
        <f t="shared" si="34"/>
        <v>ras212007</v>
      </c>
      <c r="J325">
        <v>0.51465000000000005</v>
      </c>
      <c r="K325">
        <v>8.5</v>
      </c>
      <c r="L325">
        <f t="shared" si="33"/>
        <v>5.4426500000000004</v>
      </c>
      <c r="M325">
        <v>5.4426500000000004</v>
      </c>
    </row>
    <row r="326" spans="1:13" x14ac:dyDescent="0.2">
      <c r="A326" s="3">
        <v>2005</v>
      </c>
      <c r="B326">
        <v>0.57510000000000006</v>
      </c>
      <c r="C326">
        <v>8.5</v>
      </c>
      <c r="G326" s="5" t="s">
        <v>104</v>
      </c>
      <c r="H326" s="3">
        <v>2008</v>
      </c>
      <c r="I326" s="5" t="str">
        <f t="shared" si="34"/>
        <v>ras212008</v>
      </c>
      <c r="J326">
        <v>0.72650000000000003</v>
      </c>
      <c r="K326">
        <v>8.5</v>
      </c>
      <c r="L326">
        <f t="shared" si="33"/>
        <v>6.1691500000000001</v>
      </c>
      <c r="M326">
        <v>6.1691500000000001</v>
      </c>
    </row>
    <row r="327" spans="1:13" x14ac:dyDescent="0.2">
      <c r="A327" s="3">
        <v>2006</v>
      </c>
      <c r="B327">
        <v>0.49444999999999995</v>
      </c>
      <c r="C327">
        <v>8.5</v>
      </c>
      <c r="G327" s="5" t="s">
        <v>104</v>
      </c>
      <c r="H327" s="3">
        <v>2009</v>
      </c>
      <c r="I327" s="5" t="str">
        <f t="shared" si="34"/>
        <v>ras212009</v>
      </c>
      <c r="J327">
        <v>0.45910000000000006</v>
      </c>
      <c r="K327">
        <v>8.5</v>
      </c>
      <c r="L327">
        <f t="shared" si="33"/>
        <v>6.6282500000000004</v>
      </c>
      <c r="M327">
        <v>6.6282500000000004</v>
      </c>
    </row>
    <row r="328" spans="1:13" x14ac:dyDescent="0.2">
      <c r="A328" s="3">
        <v>2007</v>
      </c>
      <c r="B328">
        <v>0.51465000000000005</v>
      </c>
      <c r="C328">
        <v>8.5</v>
      </c>
      <c r="G328" s="5" t="s">
        <v>104</v>
      </c>
      <c r="H328" s="3">
        <v>2010</v>
      </c>
      <c r="I328" s="5" t="str">
        <f t="shared" si="34"/>
        <v>ras212010</v>
      </c>
      <c r="J328">
        <v>0.44395000000000001</v>
      </c>
      <c r="K328">
        <v>8.5</v>
      </c>
      <c r="L328">
        <f t="shared" si="33"/>
        <v>7.0722000000000005</v>
      </c>
      <c r="M328">
        <v>7.0722000000000005</v>
      </c>
    </row>
    <row r="329" spans="1:13" x14ac:dyDescent="0.2">
      <c r="A329" s="3">
        <v>2008</v>
      </c>
      <c r="B329">
        <v>0.72650000000000003</v>
      </c>
      <c r="C329">
        <v>8.5</v>
      </c>
      <c r="G329" s="5" t="s">
        <v>104</v>
      </c>
      <c r="H329" s="3">
        <v>2011</v>
      </c>
      <c r="I329" s="5" t="str">
        <f t="shared" si="34"/>
        <v>ras212011</v>
      </c>
      <c r="J329">
        <v>0.35070000000000001</v>
      </c>
      <c r="K329">
        <v>8.5</v>
      </c>
      <c r="L329">
        <f>L330-J330</f>
        <v>7.4229000000000003</v>
      </c>
      <c r="M329">
        <v>7.4229000000000003</v>
      </c>
    </row>
    <row r="330" spans="1:13" x14ac:dyDescent="0.2">
      <c r="A330" s="3">
        <v>2009</v>
      </c>
      <c r="B330">
        <v>0.45910000000000006</v>
      </c>
      <c r="C330">
        <v>8.5</v>
      </c>
      <c r="G330" s="5" t="s">
        <v>104</v>
      </c>
      <c r="H330" s="3">
        <v>2012</v>
      </c>
      <c r="I330" s="5" t="str">
        <f t="shared" si="34"/>
        <v>ras212012</v>
      </c>
      <c r="J330">
        <v>0.46414999999999995</v>
      </c>
      <c r="K330">
        <v>8.5</v>
      </c>
      <c r="L330">
        <f>K330-J331</f>
        <v>7.8870500000000003</v>
      </c>
      <c r="M330">
        <v>7.8870500000000003</v>
      </c>
    </row>
    <row r="331" spans="1:13" x14ac:dyDescent="0.2">
      <c r="A331" s="3">
        <v>2010</v>
      </c>
      <c r="B331">
        <v>0.44395000000000001</v>
      </c>
      <c r="C331">
        <v>8.5</v>
      </c>
      <c r="G331" s="5" t="s">
        <v>104</v>
      </c>
      <c r="H331" s="3">
        <v>2013</v>
      </c>
      <c r="I331" s="5" t="str">
        <f t="shared" si="34"/>
        <v>ras212013</v>
      </c>
      <c r="J331">
        <v>0.61294999999999999</v>
      </c>
      <c r="K331">
        <v>8.5</v>
      </c>
      <c r="M331">
        <v>8.5</v>
      </c>
    </row>
    <row r="332" spans="1:13" x14ac:dyDescent="0.2">
      <c r="A332" s="3">
        <v>2011</v>
      </c>
      <c r="B332">
        <v>0.35070000000000001</v>
      </c>
      <c r="C332">
        <v>8.5</v>
      </c>
      <c r="H332" s="5" t="s">
        <v>107</v>
      </c>
      <c r="I332" s="5" t="str">
        <f t="shared" si="34"/>
        <v>sad05</v>
      </c>
      <c r="J332" s="6">
        <v>0.73002727272727275</v>
      </c>
      <c r="K332" s="6">
        <v>11</v>
      </c>
      <c r="M332">
        <v>11</v>
      </c>
    </row>
    <row r="333" spans="1:13" x14ac:dyDescent="0.2">
      <c r="A333" s="3">
        <v>2012</v>
      </c>
      <c r="B333">
        <v>0.46414999999999995</v>
      </c>
      <c r="C333">
        <v>8.5</v>
      </c>
      <c r="G333" s="5" t="s">
        <v>107</v>
      </c>
      <c r="H333" s="3">
        <v>2003</v>
      </c>
      <c r="I333" s="5" t="str">
        <f t="shared" si="34"/>
        <v>sad052003</v>
      </c>
      <c r="J333">
        <v>0.89405000000000001</v>
      </c>
      <c r="K333">
        <v>11</v>
      </c>
      <c r="L333">
        <f t="shared" ref="L333:L340" si="35">L334-J334</f>
        <v>3.8637499999999987</v>
      </c>
      <c r="M333">
        <v>3.8637499999999987</v>
      </c>
    </row>
    <row r="334" spans="1:13" x14ac:dyDescent="0.2">
      <c r="A334" s="3">
        <v>2013</v>
      </c>
      <c r="B334">
        <v>0.61294999999999999</v>
      </c>
      <c r="C334">
        <v>8.5</v>
      </c>
      <c r="G334" s="5" t="s">
        <v>107</v>
      </c>
      <c r="H334" s="3">
        <v>2004</v>
      </c>
      <c r="I334" s="5" t="str">
        <f t="shared" si="34"/>
        <v>sad052004</v>
      </c>
      <c r="J334">
        <v>0.78800000000000003</v>
      </c>
      <c r="K334">
        <v>11</v>
      </c>
      <c r="L334">
        <f t="shared" si="35"/>
        <v>4.6517499999999989</v>
      </c>
      <c r="M334">
        <v>4.6517499999999989</v>
      </c>
    </row>
    <row r="335" spans="1:13" x14ac:dyDescent="0.2">
      <c r="A335" s="2" t="s">
        <v>107</v>
      </c>
      <c r="B335">
        <v>0.73002727272727275</v>
      </c>
      <c r="C335">
        <v>11</v>
      </c>
      <c r="G335" s="5" t="s">
        <v>107</v>
      </c>
      <c r="H335" s="3">
        <v>2005</v>
      </c>
      <c r="I335" s="5" t="str">
        <f t="shared" si="34"/>
        <v>sad052005</v>
      </c>
      <c r="J335">
        <v>0.57750000000000001</v>
      </c>
      <c r="K335">
        <v>11</v>
      </c>
      <c r="L335">
        <f t="shared" si="35"/>
        <v>5.2292499999999986</v>
      </c>
      <c r="M335">
        <v>5.2292499999999986</v>
      </c>
    </row>
    <row r="336" spans="1:13" x14ac:dyDescent="0.2">
      <c r="A336" s="3">
        <v>2003</v>
      </c>
      <c r="B336">
        <v>0.89405000000000001</v>
      </c>
      <c r="C336">
        <v>11</v>
      </c>
      <c r="G336" s="5" t="s">
        <v>107</v>
      </c>
      <c r="H336" s="3">
        <v>2006</v>
      </c>
      <c r="I336" s="5" t="str">
        <f t="shared" si="34"/>
        <v>sad052006</v>
      </c>
      <c r="J336">
        <v>0.65575000000000006</v>
      </c>
      <c r="K336">
        <v>11</v>
      </c>
      <c r="L336">
        <f t="shared" si="35"/>
        <v>5.8849999999999989</v>
      </c>
      <c r="M336">
        <v>5.8849999999999989</v>
      </c>
    </row>
    <row r="337" spans="1:13" x14ac:dyDescent="0.2">
      <c r="A337" s="3">
        <v>2004</v>
      </c>
      <c r="B337">
        <v>0.78800000000000003</v>
      </c>
      <c r="C337">
        <v>11</v>
      </c>
      <c r="G337" s="5" t="s">
        <v>107</v>
      </c>
      <c r="H337" s="3">
        <v>2007</v>
      </c>
      <c r="I337" s="5" t="str">
        <f t="shared" si="34"/>
        <v>sad052007</v>
      </c>
      <c r="J337">
        <v>0.6704</v>
      </c>
      <c r="K337">
        <v>11</v>
      </c>
      <c r="L337">
        <f t="shared" si="35"/>
        <v>6.5553999999999988</v>
      </c>
      <c r="M337">
        <v>6.5553999999999988</v>
      </c>
    </row>
    <row r="338" spans="1:13" x14ac:dyDescent="0.2">
      <c r="A338" s="3">
        <v>2005</v>
      </c>
      <c r="B338">
        <v>0.57750000000000001</v>
      </c>
      <c r="C338">
        <v>11</v>
      </c>
      <c r="G338" s="5" t="s">
        <v>107</v>
      </c>
      <c r="H338" s="3">
        <v>2008</v>
      </c>
      <c r="I338" s="5" t="str">
        <f t="shared" si="34"/>
        <v>sad052008</v>
      </c>
      <c r="J338">
        <v>0.86640000000000006</v>
      </c>
      <c r="K338">
        <v>11</v>
      </c>
      <c r="L338">
        <f t="shared" si="35"/>
        <v>7.4217999999999984</v>
      </c>
      <c r="M338">
        <v>7.4217999999999984</v>
      </c>
    </row>
    <row r="339" spans="1:13" x14ac:dyDescent="0.2">
      <c r="A339" s="3">
        <v>2006</v>
      </c>
      <c r="B339">
        <v>0.65575000000000006</v>
      </c>
      <c r="C339">
        <v>11</v>
      </c>
      <c r="G339" s="5" t="s">
        <v>107</v>
      </c>
      <c r="H339" s="3">
        <v>2009</v>
      </c>
      <c r="I339" s="5" t="str">
        <f t="shared" si="34"/>
        <v>sad052009</v>
      </c>
      <c r="J339">
        <v>0.94159999999999999</v>
      </c>
      <c r="K339">
        <v>11</v>
      </c>
      <c r="L339">
        <f t="shared" si="35"/>
        <v>8.3633999999999986</v>
      </c>
      <c r="M339">
        <v>8.3633999999999986</v>
      </c>
    </row>
    <row r="340" spans="1:13" x14ac:dyDescent="0.2">
      <c r="A340" s="3">
        <v>2007</v>
      </c>
      <c r="B340">
        <v>0.6704</v>
      </c>
      <c r="C340">
        <v>11</v>
      </c>
      <c r="G340" s="5" t="s">
        <v>107</v>
      </c>
      <c r="H340" s="3">
        <v>2010</v>
      </c>
      <c r="I340" s="5" t="str">
        <f t="shared" si="34"/>
        <v>sad052010</v>
      </c>
      <c r="J340">
        <v>0.61814999999999998</v>
      </c>
      <c r="K340">
        <v>11</v>
      </c>
      <c r="L340">
        <f t="shared" si="35"/>
        <v>8.9815499999999986</v>
      </c>
      <c r="M340">
        <v>8.9815499999999986</v>
      </c>
    </row>
    <row r="341" spans="1:13" x14ac:dyDescent="0.2">
      <c r="A341" s="3">
        <v>2008</v>
      </c>
      <c r="B341">
        <v>0.86640000000000006</v>
      </c>
      <c r="C341">
        <v>11</v>
      </c>
      <c r="G341" s="5" t="s">
        <v>107</v>
      </c>
      <c r="H341" s="3">
        <v>2011</v>
      </c>
      <c r="I341" s="5" t="str">
        <f t="shared" si="34"/>
        <v>sad052011</v>
      </c>
      <c r="J341">
        <v>0.58745000000000003</v>
      </c>
      <c r="K341">
        <v>11</v>
      </c>
      <c r="L341">
        <f>L342-J342</f>
        <v>9.5689999999999991</v>
      </c>
      <c r="M341">
        <v>9.5689999999999991</v>
      </c>
    </row>
    <row r="342" spans="1:13" x14ac:dyDescent="0.2">
      <c r="A342" s="3">
        <v>2009</v>
      </c>
      <c r="B342">
        <v>0.94159999999999999</v>
      </c>
      <c r="C342">
        <v>11</v>
      </c>
      <c r="G342" s="5" t="s">
        <v>107</v>
      </c>
      <c r="H342" s="3">
        <v>2012</v>
      </c>
      <c r="I342" s="5" t="str">
        <f t="shared" si="34"/>
        <v>sad052012</v>
      </c>
      <c r="J342">
        <v>0.77554999999999996</v>
      </c>
      <c r="K342">
        <v>11</v>
      </c>
      <c r="L342">
        <f>K342-J343</f>
        <v>10.34455</v>
      </c>
      <c r="M342">
        <v>10.34455</v>
      </c>
    </row>
    <row r="343" spans="1:13" x14ac:dyDescent="0.2">
      <c r="A343" s="3">
        <v>2010</v>
      </c>
      <c r="B343">
        <v>0.61814999999999998</v>
      </c>
      <c r="C343">
        <v>11</v>
      </c>
      <c r="G343" s="5" t="s">
        <v>107</v>
      </c>
      <c r="H343" s="3">
        <v>2013</v>
      </c>
      <c r="I343" s="5" t="str">
        <f t="shared" si="34"/>
        <v>sad052013</v>
      </c>
      <c r="J343">
        <v>0.65545000000000009</v>
      </c>
      <c r="K343">
        <v>11</v>
      </c>
      <c r="M343">
        <v>11</v>
      </c>
    </row>
    <row r="344" spans="1:13" x14ac:dyDescent="0.2">
      <c r="A344" s="3">
        <v>2011</v>
      </c>
      <c r="B344">
        <v>0.58745000000000003</v>
      </c>
      <c r="C344">
        <v>11</v>
      </c>
      <c r="H344" s="5" t="s">
        <v>111</v>
      </c>
      <c r="I344" s="5" t="str">
        <f t="shared" si="34"/>
        <v>sad07</v>
      </c>
      <c r="J344" s="6">
        <v>0.68462173913043478</v>
      </c>
      <c r="K344" s="6">
        <v>10</v>
      </c>
      <c r="M344">
        <v>10</v>
      </c>
    </row>
    <row r="345" spans="1:13" x14ac:dyDescent="0.2">
      <c r="A345" s="3">
        <v>2012</v>
      </c>
      <c r="B345">
        <v>0.77554999999999996</v>
      </c>
      <c r="C345">
        <v>11</v>
      </c>
      <c r="G345" s="5" t="s">
        <v>111</v>
      </c>
      <c r="H345" s="3">
        <v>2002</v>
      </c>
      <c r="I345" s="5" t="str">
        <f t="shared" si="34"/>
        <v>sad072002</v>
      </c>
      <c r="J345">
        <v>0.68110000000000004</v>
      </c>
      <c r="K345">
        <v>10</v>
      </c>
      <c r="L345">
        <f t="shared" ref="L345:L353" si="36">L346-J346</f>
        <v>2.4674000000000009</v>
      </c>
      <c r="M345">
        <v>2.4674000000000009</v>
      </c>
    </row>
    <row r="346" spans="1:13" x14ac:dyDescent="0.2">
      <c r="A346" s="3">
        <v>2013</v>
      </c>
      <c r="B346">
        <v>0.65545000000000009</v>
      </c>
      <c r="C346">
        <v>11</v>
      </c>
      <c r="G346" s="5" t="s">
        <v>111</v>
      </c>
      <c r="H346" s="3">
        <v>2003</v>
      </c>
      <c r="I346" s="5" t="str">
        <f t="shared" si="34"/>
        <v>sad072003</v>
      </c>
      <c r="J346">
        <v>0.70135000000000003</v>
      </c>
      <c r="K346">
        <v>10</v>
      </c>
      <c r="L346">
        <f t="shared" si="36"/>
        <v>3.1687500000000011</v>
      </c>
      <c r="M346">
        <v>3.1687500000000011</v>
      </c>
    </row>
    <row r="347" spans="1:13" x14ac:dyDescent="0.2">
      <c r="A347" s="2" t="s">
        <v>111</v>
      </c>
      <c r="B347">
        <v>0.68462173913043478</v>
      </c>
      <c r="C347">
        <v>10</v>
      </c>
      <c r="G347" s="5" t="s">
        <v>111</v>
      </c>
      <c r="H347" s="3">
        <v>2004</v>
      </c>
      <c r="I347" s="5" t="str">
        <f t="shared" si="34"/>
        <v>sad072004</v>
      </c>
      <c r="J347">
        <v>0.5171</v>
      </c>
      <c r="K347">
        <v>10</v>
      </c>
      <c r="L347">
        <f t="shared" si="36"/>
        <v>3.6858500000000012</v>
      </c>
      <c r="M347">
        <v>3.6858500000000012</v>
      </c>
    </row>
    <row r="348" spans="1:13" x14ac:dyDescent="0.2">
      <c r="A348" s="3">
        <v>2002</v>
      </c>
      <c r="B348">
        <v>0.68110000000000004</v>
      </c>
      <c r="C348">
        <v>10</v>
      </c>
      <c r="G348" s="5" t="s">
        <v>111</v>
      </c>
      <c r="H348" s="3">
        <v>2005</v>
      </c>
      <c r="I348" s="5" t="str">
        <f t="shared" si="34"/>
        <v>sad072005</v>
      </c>
      <c r="J348">
        <v>0.88040000000000007</v>
      </c>
      <c r="K348">
        <v>10</v>
      </c>
      <c r="L348">
        <f t="shared" si="36"/>
        <v>4.566250000000001</v>
      </c>
      <c r="M348">
        <v>4.566250000000001</v>
      </c>
    </row>
    <row r="349" spans="1:13" x14ac:dyDescent="0.2">
      <c r="A349" s="3">
        <v>2003</v>
      </c>
      <c r="B349">
        <v>0.70135000000000003</v>
      </c>
      <c r="C349">
        <v>10</v>
      </c>
      <c r="G349" s="5" t="s">
        <v>111</v>
      </c>
      <c r="H349" s="3">
        <v>2006</v>
      </c>
      <c r="I349" s="5" t="str">
        <f t="shared" si="34"/>
        <v>sad072006</v>
      </c>
      <c r="J349">
        <v>0.68110000000000004</v>
      </c>
      <c r="K349">
        <v>10</v>
      </c>
      <c r="L349">
        <f t="shared" si="36"/>
        <v>5.2473500000000008</v>
      </c>
      <c r="M349">
        <v>5.2473500000000008</v>
      </c>
    </row>
    <row r="350" spans="1:13" x14ac:dyDescent="0.2">
      <c r="A350" s="3">
        <v>2004</v>
      </c>
      <c r="B350">
        <v>0.5171</v>
      </c>
      <c r="C350">
        <v>10</v>
      </c>
      <c r="G350" s="5" t="s">
        <v>111</v>
      </c>
      <c r="H350" s="3">
        <v>2007</v>
      </c>
      <c r="I350" s="5" t="str">
        <f t="shared" si="34"/>
        <v>sad072007</v>
      </c>
      <c r="J350">
        <v>0.74165000000000003</v>
      </c>
      <c r="K350">
        <v>10</v>
      </c>
      <c r="L350">
        <f t="shared" si="36"/>
        <v>5.9890000000000008</v>
      </c>
      <c r="M350">
        <v>5.9890000000000008</v>
      </c>
    </row>
    <row r="351" spans="1:13" x14ac:dyDescent="0.2">
      <c r="A351" s="3">
        <v>2005</v>
      </c>
      <c r="B351">
        <v>0.88040000000000007</v>
      </c>
      <c r="C351">
        <v>10</v>
      </c>
      <c r="G351" s="5" t="s">
        <v>111</v>
      </c>
      <c r="H351" s="3">
        <v>2008</v>
      </c>
      <c r="I351" s="5" t="str">
        <f t="shared" si="34"/>
        <v>sad072008</v>
      </c>
      <c r="J351">
        <v>0.63319999999999999</v>
      </c>
      <c r="K351">
        <v>10</v>
      </c>
      <c r="L351">
        <f t="shared" si="36"/>
        <v>6.6222000000000003</v>
      </c>
      <c r="M351">
        <v>6.6222000000000003</v>
      </c>
    </row>
    <row r="352" spans="1:13" x14ac:dyDescent="0.2">
      <c r="A352" s="3">
        <v>2006</v>
      </c>
      <c r="B352">
        <v>0.68110000000000004</v>
      </c>
      <c r="C352">
        <v>10</v>
      </c>
      <c r="G352" s="5" t="s">
        <v>111</v>
      </c>
      <c r="H352" s="3">
        <v>2009</v>
      </c>
      <c r="I352" s="5" t="str">
        <f t="shared" si="34"/>
        <v>sad072009</v>
      </c>
      <c r="J352">
        <v>0.52470000000000006</v>
      </c>
      <c r="K352">
        <v>10</v>
      </c>
      <c r="L352">
        <f t="shared" si="36"/>
        <v>7.1469000000000005</v>
      </c>
      <c r="M352">
        <v>7.1469000000000005</v>
      </c>
    </row>
    <row r="353" spans="1:13" x14ac:dyDescent="0.2">
      <c r="A353" s="3">
        <v>2007</v>
      </c>
      <c r="B353">
        <v>0.74165000000000003</v>
      </c>
      <c r="C353">
        <v>10</v>
      </c>
      <c r="G353" s="5" t="s">
        <v>111</v>
      </c>
      <c r="H353" s="3">
        <v>2010</v>
      </c>
      <c r="I353" s="5" t="str">
        <f t="shared" si="34"/>
        <v>sad072010</v>
      </c>
      <c r="J353">
        <v>0.67355000000000009</v>
      </c>
      <c r="K353">
        <v>10</v>
      </c>
      <c r="L353">
        <f t="shared" si="36"/>
        <v>7.820450000000001</v>
      </c>
      <c r="M353">
        <v>7.820450000000001</v>
      </c>
    </row>
    <row r="354" spans="1:13" x14ac:dyDescent="0.2">
      <c r="A354" s="3">
        <v>2008</v>
      </c>
      <c r="B354">
        <v>0.63319999999999999</v>
      </c>
      <c r="C354">
        <v>10</v>
      </c>
      <c r="G354" s="5" t="s">
        <v>111</v>
      </c>
      <c r="H354" s="3">
        <v>2011</v>
      </c>
      <c r="I354" s="5" t="str">
        <f t="shared" si="34"/>
        <v>sad072011</v>
      </c>
      <c r="J354">
        <v>0.6533500000000001</v>
      </c>
      <c r="K354">
        <v>10</v>
      </c>
      <c r="L354">
        <f>L355-J355</f>
        <v>8.4738000000000007</v>
      </c>
      <c r="M354">
        <v>8.4738000000000007</v>
      </c>
    </row>
    <row r="355" spans="1:13" x14ac:dyDescent="0.2">
      <c r="A355" s="3">
        <v>2009</v>
      </c>
      <c r="B355">
        <v>0.52470000000000006</v>
      </c>
      <c r="C355">
        <v>10</v>
      </c>
      <c r="G355" s="5" t="s">
        <v>111</v>
      </c>
      <c r="H355" s="3">
        <v>2012</v>
      </c>
      <c r="I355" s="5" t="str">
        <f t="shared" si="34"/>
        <v>sad072012</v>
      </c>
      <c r="J355">
        <v>0.74165000000000003</v>
      </c>
      <c r="K355">
        <v>10</v>
      </c>
      <c r="L355">
        <f>K355-J356</f>
        <v>9.2154500000000006</v>
      </c>
      <c r="M355">
        <v>9.2154500000000006</v>
      </c>
    </row>
    <row r="356" spans="1:13" x14ac:dyDescent="0.2">
      <c r="A356" s="3">
        <v>2010</v>
      </c>
      <c r="B356">
        <v>0.67355000000000009</v>
      </c>
      <c r="C356">
        <v>10</v>
      </c>
      <c r="G356" s="5" t="s">
        <v>111</v>
      </c>
      <c r="H356" s="3">
        <v>2013</v>
      </c>
      <c r="I356" s="5" t="str">
        <f t="shared" si="34"/>
        <v>sad072013</v>
      </c>
      <c r="J356">
        <v>0.78455000000000008</v>
      </c>
      <c r="K356">
        <v>10</v>
      </c>
      <c r="M356">
        <v>10</v>
      </c>
    </row>
    <row r="357" spans="1:13" x14ac:dyDescent="0.2">
      <c r="A357" s="3">
        <v>2011</v>
      </c>
      <c r="B357">
        <v>0.6533500000000001</v>
      </c>
      <c r="C357">
        <v>10</v>
      </c>
      <c r="H357" s="5" t="s">
        <v>114</v>
      </c>
      <c r="I357" s="5" t="str">
        <f t="shared" si="34"/>
        <v>sad08</v>
      </c>
      <c r="J357" s="6">
        <v>0.62540000000000007</v>
      </c>
      <c r="K357" s="6">
        <v>11</v>
      </c>
      <c r="M357">
        <v>11</v>
      </c>
    </row>
    <row r="358" spans="1:13" x14ac:dyDescent="0.2">
      <c r="A358" s="3">
        <v>2012</v>
      </c>
      <c r="B358">
        <v>0.74165000000000003</v>
      </c>
      <c r="C358">
        <v>10</v>
      </c>
      <c r="G358" s="5" t="s">
        <v>114</v>
      </c>
      <c r="H358" s="3">
        <v>2001</v>
      </c>
      <c r="I358" s="5" t="str">
        <f t="shared" si="34"/>
        <v>sad082001</v>
      </c>
      <c r="J358">
        <v>0.75469999999999993</v>
      </c>
      <c r="K358">
        <v>11</v>
      </c>
      <c r="L358">
        <f t="shared" ref="L358:L367" si="37">L359-J359</f>
        <v>3.6244999999999989</v>
      </c>
      <c r="M358">
        <v>3.6244999999999989</v>
      </c>
    </row>
    <row r="359" spans="1:13" x14ac:dyDescent="0.2">
      <c r="A359" s="3">
        <v>2013</v>
      </c>
      <c r="B359">
        <v>0.78455000000000008</v>
      </c>
      <c r="C359">
        <v>10</v>
      </c>
      <c r="G359" s="5" t="s">
        <v>114</v>
      </c>
      <c r="H359" s="3">
        <v>2002</v>
      </c>
      <c r="I359" s="5" t="str">
        <f t="shared" si="34"/>
        <v>sad082002</v>
      </c>
      <c r="J359">
        <v>0.58095000000000008</v>
      </c>
      <c r="K359">
        <v>11</v>
      </c>
      <c r="L359">
        <f t="shared" si="37"/>
        <v>4.205449999999999</v>
      </c>
      <c r="M359">
        <v>4.205449999999999</v>
      </c>
    </row>
    <row r="360" spans="1:13" x14ac:dyDescent="0.2">
      <c r="A360" s="2" t="s">
        <v>114</v>
      </c>
      <c r="B360">
        <v>0.62540000000000007</v>
      </c>
      <c r="C360">
        <v>11</v>
      </c>
      <c r="G360" s="5" t="s">
        <v>114</v>
      </c>
      <c r="H360" s="3">
        <v>2003</v>
      </c>
      <c r="I360" s="5" t="str">
        <f t="shared" si="34"/>
        <v>sad082003</v>
      </c>
      <c r="J360">
        <v>0.53715000000000002</v>
      </c>
      <c r="K360">
        <v>11</v>
      </c>
      <c r="L360">
        <f t="shared" si="37"/>
        <v>4.7425999999999995</v>
      </c>
      <c r="M360">
        <v>4.7425999999999995</v>
      </c>
    </row>
    <row r="361" spans="1:13" x14ac:dyDescent="0.2">
      <c r="A361" s="3">
        <v>2001</v>
      </c>
      <c r="B361">
        <v>0.75469999999999993</v>
      </c>
      <c r="C361">
        <v>11</v>
      </c>
      <c r="G361" s="5" t="s">
        <v>114</v>
      </c>
      <c r="H361" s="3">
        <v>2004</v>
      </c>
      <c r="I361" s="5" t="str">
        <f t="shared" si="34"/>
        <v>sad082004</v>
      </c>
      <c r="J361">
        <v>0.64829999999999999</v>
      </c>
      <c r="K361">
        <v>11</v>
      </c>
      <c r="L361">
        <f t="shared" si="37"/>
        <v>5.3908999999999994</v>
      </c>
      <c r="M361">
        <v>5.3908999999999994</v>
      </c>
    </row>
    <row r="362" spans="1:13" x14ac:dyDescent="0.2">
      <c r="A362" s="3">
        <v>2002</v>
      </c>
      <c r="B362">
        <v>0.58095000000000008</v>
      </c>
      <c r="C362">
        <v>11</v>
      </c>
      <c r="G362" s="5" t="s">
        <v>114</v>
      </c>
      <c r="H362" s="3">
        <v>2005</v>
      </c>
      <c r="I362" s="5" t="str">
        <f t="shared" si="34"/>
        <v>sad082005</v>
      </c>
      <c r="J362">
        <v>0.75409999999999999</v>
      </c>
      <c r="K362">
        <v>11</v>
      </c>
      <c r="L362">
        <f t="shared" si="37"/>
        <v>6.1449999999999996</v>
      </c>
      <c r="M362">
        <v>6.1449999999999996</v>
      </c>
    </row>
    <row r="363" spans="1:13" x14ac:dyDescent="0.2">
      <c r="A363" s="3">
        <v>2003</v>
      </c>
      <c r="B363">
        <v>0.53715000000000002</v>
      </c>
      <c r="C363">
        <v>11</v>
      </c>
      <c r="G363" s="5" t="s">
        <v>114</v>
      </c>
      <c r="H363" s="3">
        <v>2006</v>
      </c>
      <c r="I363" s="5" t="str">
        <f t="shared" si="34"/>
        <v>sad082006</v>
      </c>
      <c r="J363">
        <v>0.82069999999999999</v>
      </c>
      <c r="K363">
        <v>11</v>
      </c>
      <c r="L363">
        <f t="shared" si="37"/>
        <v>6.9656999999999991</v>
      </c>
      <c r="M363">
        <v>6.9656999999999991</v>
      </c>
    </row>
    <row r="364" spans="1:13" x14ac:dyDescent="0.2">
      <c r="A364" s="3">
        <v>2004</v>
      </c>
      <c r="B364">
        <v>0.64829999999999999</v>
      </c>
      <c r="C364">
        <v>11</v>
      </c>
      <c r="G364" s="5" t="s">
        <v>114</v>
      </c>
      <c r="H364" s="3">
        <v>2007</v>
      </c>
      <c r="I364" s="5" t="str">
        <f t="shared" si="34"/>
        <v>sad082007</v>
      </c>
      <c r="J364">
        <v>0.52905000000000002</v>
      </c>
      <c r="K364">
        <v>11</v>
      </c>
      <c r="L364">
        <f t="shared" si="37"/>
        <v>7.4947499999999989</v>
      </c>
      <c r="M364">
        <v>7.4947499999999989</v>
      </c>
    </row>
    <row r="365" spans="1:13" x14ac:dyDescent="0.2">
      <c r="A365" s="3">
        <v>2005</v>
      </c>
      <c r="B365">
        <v>0.75409999999999999</v>
      </c>
      <c r="C365">
        <v>11</v>
      </c>
      <c r="G365" s="5" t="s">
        <v>114</v>
      </c>
      <c r="H365" s="3">
        <v>2008</v>
      </c>
      <c r="I365" s="5" t="str">
        <f t="shared" si="34"/>
        <v>sad082008</v>
      </c>
      <c r="J365">
        <v>0.56515000000000004</v>
      </c>
      <c r="K365">
        <v>11</v>
      </c>
      <c r="L365">
        <f t="shared" si="37"/>
        <v>8.059899999999999</v>
      </c>
      <c r="M365">
        <v>8.059899999999999</v>
      </c>
    </row>
    <row r="366" spans="1:13" x14ac:dyDescent="0.2">
      <c r="A366" s="3">
        <v>2006</v>
      </c>
      <c r="B366">
        <v>0.82069999999999999</v>
      </c>
      <c r="C366">
        <v>11</v>
      </c>
      <c r="G366" s="5" t="s">
        <v>114</v>
      </c>
      <c r="H366" s="3">
        <v>2009</v>
      </c>
      <c r="I366" s="5" t="str">
        <f t="shared" si="34"/>
        <v>sad082009</v>
      </c>
      <c r="J366">
        <v>0.67084999999999995</v>
      </c>
      <c r="K366">
        <v>11</v>
      </c>
      <c r="L366">
        <f t="shared" si="37"/>
        <v>8.7307499999999987</v>
      </c>
      <c r="M366">
        <v>8.7307499999999987</v>
      </c>
    </row>
    <row r="367" spans="1:13" x14ac:dyDescent="0.2">
      <c r="A367" s="3">
        <v>2007</v>
      </c>
      <c r="B367">
        <v>0.52905000000000002</v>
      </c>
      <c r="C367">
        <v>11</v>
      </c>
      <c r="G367" s="5" t="s">
        <v>114</v>
      </c>
      <c r="H367" s="3">
        <v>2010</v>
      </c>
      <c r="I367" s="5" t="str">
        <f t="shared" si="34"/>
        <v>sad082010</v>
      </c>
      <c r="J367">
        <v>0.66210000000000002</v>
      </c>
      <c r="K367">
        <v>11</v>
      </c>
      <c r="L367">
        <f t="shared" si="37"/>
        <v>9.3928499999999993</v>
      </c>
      <c r="M367">
        <v>9.3928499999999993</v>
      </c>
    </row>
    <row r="368" spans="1:13" x14ac:dyDescent="0.2">
      <c r="A368" s="3">
        <v>2008</v>
      </c>
      <c r="B368">
        <v>0.56515000000000004</v>
      </c>
      <c r="C368">
        <v>11</v>
      </c>
      <c r="G368" s="5" t="s">
        <v>114</v>
      </c>
      <c r="H368" s="3">
        <v>2011</v>
      </c>
      <c r="I368" s="5" t="str">
        <f t="shared" si="34"/>
        <v>sad082011</v>
      </c>
      <c r="J368">
        <v>0.48525000000000001</v>
      </c>
      <c r="K368">
        <v>11</v>
      </c>
      <c r="L368">
        <f>L369-J369</f>
        <v>9.8780999999999999</v>
      </c>
      <c r="M368">
        <v>9.8780999999999999</v>
      </c>
    </row>
    <row r="369" spans="1:13" x14ac:dyDescent="0.2">
      <c r="A369" s="3">
        <v>2009</v>
      </c>
      <c r="B369">
        <v>0.67084999999999995</v>
      </c>
      <c r="C369">
        <v>11</v>
      </c>
      <c r="G369" s="5" t="s">
        <v>114</v>
      </c>
      <c r="H369" s="3">
        <v>2012</v>
      </c>
      <c r="I369" s="5" t="str">
        <f t="shared" si="34"/>
        <v>sad082012</v>
      </c>
      <c r="J369">
        <v>0.57940000000000003</v>
      </c>
      <c r="K369">
        <v>11</v>
      </c>
      <c r="L369">
        <f>K369-J370</f>
        <v>10.4575</v>
      </c>
      <c r="M369">
        <v>10.4575</v>
      </c>
    </row>
    <row r="370" spans="1:13" x14ac:dyDescent="0.2">
      <c r="A370" s="3">
        <v>2010</v>
      </c>
      <c r="B370">
        <v>0.66210000000000002</v>
      </c>
      <c r="C370">
        <v>11</v>
      </c>
      <c r="G370" s="5" t="s">
        <v>114</v>
      </c>
      <c r="H370" s="3">
        <v>2013</v>
      </c>
      <c r="I370" s="5" t="str">
        <f t="shared" si="34"/>
        <v>sad082013</v>
      </c>
      <c r="J370">
        <v>0.54249999999999998</v>
      </c>
      <c r="K370">
        <v>11</v>
      </c>
      <c r="M370">
        <v>11</v>
      </c>
    </row>
    <row r="371" spans="1:13" x14ac:dyDescent="0.2">
      <c r="A371" s="3">
        <v>2011</v>
      </c>
      <c r="B371">
        <v>0.48525000000000001</v>
      </c>
      <c r="C371">
        <v>11</v>
      </c>
      <c r="H371" s="5" t="s">
        <v>117</v>
      </c>
      <c r="I371" s="5" t="str">
        <f t="shared" si="34"/>
        <v>sad12</v>
      </c>
      <c r="J371" s="6">
        <v>0.58387272727272732</v>
      </c>
      <c r="K371" s="6">
        <v>9</v>
      </c>
      <c r="M371">
        <v>9</v>
      </c>
    </row>
    <row r="372" spans="1:13" x14ac:dyDescent="0.2">
      <c r="A372" s="3">
        <v>2012</v>
      </c>
      <c r="B372">
        <v>0.57940000000000003</v>
      </c>
      <c r="C372">
        <v>11</v>
      </c>
      <c r="G372" s="5" t="s">
        <v>117</v>
      </c>
      <c r="H372" s="3">
        <v>2000</v>
      </c>
      <c r="I372" s="5" t="str">
        <f t="shared" si="34"/>
        <v>sad122000</v>
      </c>
      <c r="J372">
        <v>0.54490000000000005</v>
      </c>
      <c r="K372">
        <v>9</v>
      </c>
      <c r="L372">
        <f t="shared" ref="L372:L382" si="38">L373-J373</f>
        <v>1.7297999999999991</v>
      </c>
      <c r="M372">
        <v>1.7297999999999991</v>
      </c>
    </row>
    <row r="373" spans="1:13" x14ac:dyDescent="0.2">
      <c r="A373" s="3">
        <v>2013</v>
      </c>
      <c r="B373">
        <v>0.54249999999999998</v>
      </c>
      <c r="C373">
        <v>11</v>
      </c>
      <c r="G373" s="5" t="s">
        <v>117</v>
      </c>
      <c r="H373" s="3">
        <v>2001</v>
      </c>
      <c r="I373" s="5" t="str">
        <f t="shared" si="34"/>
        <v>sad122001</v>
      </c>
      <c r="J373">
        <v>0.68620000000000003</v>
      </c>
      <c r="K373">
        <v>9</v>
      </c>
      <c r="L373">
        <f t="shared" si="38"/>
        <v>2.415999999999999</v>
      </c>
      <c r="M373">
        <v>2.415999999999999</v>
      </c>
    </row>
    <row r="374" spans="1:13" x14ac:dyDescent="0.2">
      <c r="A374" s="2" t="s">
        <v>117</v>
      </c>
      <c r="B374">
        <v>0.58387272727272732</v>
      </c>
      <c r="C374">
        <v>9</v>
      </c>
      <c r="G374" s="5" t="s">
        <v>117</v>
      </c>
      <c r="H374" s="3">
        <v>2002</v>
      </c>
      <c r="I374" s="5" t="str">
        <f t="shared" si="34"/>
        <v>sad122002</v>
      </c>
      <c r="J374">
        <v>0.42380000000000001</v>
      </c>
      <c r="K374">
        <v>9</v>
      </c>
      <c r="L374">
        <f t="shared" si="38"/>
        <v>2.839799999999999</v>
      </c>
      <c r="M374">
        <v>2.839799999999999</v>
      </c>
    </row>
    <row r="375" spans="1:13" x14ac:dyDescent="0.2">
      <c r="A375" s="3">
        <v>2000</v>
      </c>
      <c r="B375">
        <v>0.54490000000000005</v>
      </c>
      <c r="C375">
        <v>9</v>
      </c>
      <c r="G375" s="5" t="s">
        <v>117</v>
      </c>
      <c r="H375" s="3">
        <v>2003</v>
      </c>
      <c r="I375" s="5" t="str">
        <f t="shared" si="34"/>
        <v>sad122003</v>
      </c>
      <c r="J375">
        <v>0.43380000000000002</v>
      </c>
      <c r="K375">
        <v>9</v>
      </c>
      <c r="L375">
        <f t="shared" si="38"/>
        <v>3.2735999999999992</v>
      </c>
      <c r="M375">
        <v>3.2735999999999992</v>
      </c>
    </row>
    <row r="376" spans="1:13" x14ac:dyDescent="0.2">
      <c r="A376" s="3">
        <v>2001</v>
      </c>
      <c r="B376">
        <v>0.68620000000000003</v>
      </c>
      <c r="C376">
        <v>9</v>
      </c>
      <c r="G376" s="5" t="s">
        <v>117</v>
      </c>
      <c r="H376" s="3">
        <v>2004</v>
      </c>
      <c r="I376" s="5" t="str">
        <f t="shared" si="34"/>
        <v>sad122004</v>
      </c>
      <c r="J376">
        <v>0.34310000000000002</v>
      </c>
      <c r="K376">
        <v>9</v>
      </c>
      <c r="L376">
        <f t="shared" si="38"/>
        <v>3.6166999999999994</v>
      </c>
      <c r="M376">
        <v>3.6166999999999994</v>
      </c>
    </row>
    <row r="377" spans="1:13" x14ac:dyDescent="0.2">
      <c r="A377" s="3">
        <v>2002</v>
      </c>
      <c r="B377">
        <v>0.42380000000000001</v>
      </c>
      <c r="C377">
        <v>9</v>
      </c>
      <c r="G377" s="5" t="s">
        <v>117</v>
      </c>
      <c r="H377" s="3">
        <v>2005</v>
      </c>
      <c r="I377" s="5" t="str">
        <f t="shared" si="34"/>
        <v>sad122005</v>
      </c>
      <c r="J377">
        <v>0.35320000000000001</v>
      </c>
      <c r="K377">
        <v>9</v>
      </c>
      <c r="L377">
        <f t="shared" si="38"/>
        <v>3.9698999999999995</v>
      </c>
      <c r="M377">
        <v>3.9698999999999995</v>
      </c>
    </row>
    <row r="378" spans="1:13" x14ac:dyDescent="0.2">
      <c r="A378" s="3">
        <v>2003</v>
      </c>
      <c r="B378">
        <v>0.43380000000000002</v>
      </c>
      <c r="C378">
        <v>9</v>
      </c>
      <c r="G378" s="5" t="s">
        <v>117</v>
      </c>
      <c r="H378" s="3">
        <v>2006</v>
      </c>
      <c r="I378" s="5" t="str">
        <f t="shared" si="34"/>
        <v>sad122006</v>
      </c>
      <c r="J378">
        <v>0.71390000000000009</v>
      </c>
      <c r="K378">
        <v>9</v>
      </c>
      <c r="L378">
        <f t="shared" si="38"/>
        <v>4.6837999999999997</v>
      </c>
      <c r="M378">
        <v>4.6837999999999997</v>
      </c>
    </row>
    <row r="379" spans="1:13" x14ac:dyDescent="0.2">
      <c r="A379" s="3">
        <v>2004</v>
      </c>
      <c r="B379">
        <v>0.34310000000000002</v>
      </c>
      <c r="C379">
        <v>9</v>
      </c>
      <c r="G379" s="5" t="s">
        <v>117</v>
      </c>
      <c r="H379" s="3">
        <v>2007</v>
      </c>
      <c r="I379" s="5" t="str">
        <f t="shared" si="34"/>
        <v>sad122007</v>
      </c>
      <c r="J379">
        <v>0.57010000000000005</v>
      </c>
      <c r="K379">
        <v>9</v>
      </c>
      <c r="L379">
        <f t="shared" si="38"/>
        <v>5.2538999999999998</v>
      </c>
      <c r="M379">
        <v>5.2538999999999998</v>
      </c>
    </row>
    <row r="380" spans="1:13" x14ac:dyDescent="0.2">
      <c r="A380" s="3">
        <v>2005</v>
      </c>
      <c r="B380">
        <v>0.35320000000000001</v>
      </c>
      <c r="C380">
        <v>9</v>
      </c>
      <c r="G380" s="5" t="s">
        <v>117</v>
      </c>
      <c r="H380" s="3">
        <v>2008</v>
      </c>
      <c r="I380" s="5" t="str">
        <f t="shared" si="34"/>
        <v>sad122008</v>
      </c>
      <c r="J380">
        <v>0.68615000000000004</v>
      </c>
      <c r="K380">
        <v>9</v>
      </c>
      <c r="L380">
        <f t="shared" si="38"/>
        <v>5.9400500000000003</v>
      </c>
      <c r="M380">
        <v>5.9400500000000003</v>
      </c>
    </row>
    <row r="381" spans="1:13" x14ac:dyDescent="0.2">
      <c r="A381" s="3">
        <v>2006</v>
      </c>
      <c r="B381">
        <v>0.71390000000000009</v>
      </c>
      <c r="C381">
        <v>9</v>
      </c>
      <c r="G381" s="5" t="s">
        <v>117</v>
      </c>
      <c r="H381" s="3">
        <v>2009</v>
      </c>
      <c r="I381" s="5" t="str">
        <f t="shared" si="34"/>
        <v>sad122009</v>
      </c>
      <c r="J381">
        <v>0.55500000000000005</v>
      </c>
      <c r="K381">
        <v>9</v>
      </c>
      <c r="L381">
        <f t="shared" si="38"/>
        <v>6.49505</v>
      </c>
      <c r="M381">
        <v>6.49505</v>
      </c>
    </row>
    <row r="382" spans="1:13" x14ac:dyDescent="0.2">
      <c r="A382" s="3">
        <v>2007</v>
      </c>
      <c r="B382">
        <v>0.57010000000000005</v>
      </c>
      <c r="C382">
        <v>9</v>
      </c>
      <c r="G382" s="5" t="s">
        <v>117</v>
      </c>
      <c r="H382" s="3">
        <v>2010</v>
      </c>
      <c r="I382" s="5" t="str">
        <f t="shared" si="34"/>
        <v>sad122010</v>
      </c>
      <c r="J382">
        <v>0.84760000000000002</v>
      </c>
      <c r="K382">
        <v>9</v>
      </c>
      <c r="L382">
        <f t="shared" si="38"/>
        <v>7.3426499999999999</v>
      </c>
      <c r="M382">
        <v>7.3426499999999999</v>
      </c>
    </row>
    <row r="383" spans="1:13" x14ac:dyDescent="0.2">
      <c r="A383" s="3">
        <v>2008</v>
      </c>
      <c r="B383">
        <v>0.68615000000000004</v>
      </c>
      <c r="C383">
        <v>9</v>
      </c>
      <c r="G383" s="5" t="s">
        <v>117</v>
      </c>
      <c r="H383" s="3">
        <v>2011</v>
      </c>
      <c r="I383" s="5" t="str">
        <f t="shared" si="34"/>
        <v>sad122011</v>
      </c>
      <c r="J383">
        <v>0.53480000000000005</v>
      </c>
      <c r="K383">
        <v>9</v>
      </c>
      <c r="L383">
        <f>L384-J384</f>
        <v>7.8774499999999996</v>
      </c>
      <c r="M383">
        <v>7.8774499999999996</v>
      </c>
    </row>
    <row r="384" spans="1:13" x14ac:dyDescent="0.2">
      <c r="A384" s="3">
        <v>2009</v>
      </c>
      <c r="B384">
        <v>0.55500000000000005</v>
      </c>
      <c r="C384">
        <v>9</v>
      </c>
      <c r="G384" s="5" t="s">
        <v>117</v>
      </c>
      <c r="H384" s="3">
        <v>2012</v>
      </c>
      <c r="I384" s="5" t="str">
        <f t="shared" si="34"/>
        <v>sad122012</v>
      </c>
      <c r="J384">
        <v>0.67854999999999999</v>
      </c>
      <c r="K384">
        <v>9</v>
      </c>
      <c r="L384">
        <f>K384-J385</f>
        <v>8.5559999999999992</v>
      </c>
      <c r="M384">
        <v>8.5559999999999992</v>
      </c>
    </row>
    <row r="385" spans="1:13" x14ac:dyDescent="0.2">
      <c r="A385" s="3">
        <v>2010</v>
      </c>
      <c r="B385">
        <v>0.84760000000000002</v>
      </c>
      <c r="C385">
        <v>9</v>
      </c>
      <c r="G385" s="5" t="s">
        <v>117</v>
      </c>
      <c r="H385" s="3">
        <v>2013</v>
      </c>
      <c r="I385" s="5" t="str">
        <f t="shared" si="34"/>
        <v>sad122013</v>
      </c>
      <c r="J385">
        <v>0.44400000000000006</v>
      </c>
      <c r="K385">
        <v>9</v>
      </c>
      <c r="M385">
        <v>9</v>
      </c>
    </row>
    <row r="386" spans="1:13" x14ac:dyDescent="0.2">
      <c r="A386" s="3">
        <v>2011</v>
      </c>
      <c r="B386">
        <v>0.53480000000000005</v>
      </c>
      <c r="C386">
        <v>9</v>
      </c>
      <c r="H386" s="5" t="s">
        <v>120</v>
      </c>
      <c r="I386" s="5" t="str">
        <f t="shared" ref="I386:I429" si="39">CONCATENATE(G386,H386)</f>
        <v>sad13</v>
      </c>
      <c r="J386" s="6">
        <v>0.35360434782608702</v>
      </c>
      <c r="K386" s="6">
        <v>5</v>
      </c>
      <c r="M386">
        <v>5</v>
      </c>
    </row>
    <row r="387" spans="1:13" x14ac:dyDescent="0.2">
      <c r="A387" s="3">
        <v>2012</v>
      </c>
      <c r="B387">
        <v>0.67854999999999999</v>
      </c>
      <c r="C387">
        <v>9</v>
      </c>
      <c r="G387" s="5" t="s">
        <v>120</v>
      </c>
      <c r="H387" s="3">
        <v>2002</v>
      </c>
      <c r="I387" s="5" t="str">
        <f t="shared" si="39"/>
        <v>sad132002</v>
      </c>
      <c r="J387">
        <v>0.26229999999999998</v>
      </c>
      <c r="K387">
        <v>5</v>
      </c>
      <c r="L387">
        <f t="shared" ref="L387:L395" si="40">L388-J388</f>
        <v>1.0647000000000002</v>
      </c>
      <c r="M387">
        <v>1.0647000000000002</v>
      </c>
    </row>
    <row r="388" spans="1:13" x14ac:dyDescent="0.2">
      <c r="A388" s="3">
        <v>2013</v>
      </c>
      <c r="B388">
        <v>0.44400000000000006</v>
      </c>
      <c r="C388">
        <v>9</v>
      </c>
      <c r="G388" s="5" t="s">
        <v>120</v>
      </c>
      <c r="H388" s="3">
        <v>2003</v>
      </c>
      <c r="I388" s="5" t="str">
        <f t="shared" si="39"/>
        <v>sad132003</v>
      </c>
      <c r="J388">
        <v>0.26240000000000002</v>
      </c>
      <c r="K388">
        <v>5</v>
      </c>
      <c r="L388">
        <f t="shared" si="40"/>
        <v>1.3271000000000002</v>
      </c>
      <c r="M388">
        <v>1.3271000000000002</v>
      </c>
    </row>
    <row r="389" spans="1:13" x14ac:dyDescent="0.2">
      <c r="A389" s="2" t="s">
        <v>120</v>
      </c>
      <c r="B389">
        <v>0.35360434782608702</v>
      </c>
      <c r="C389">
        <v>5</v>
      </c>
      <c r="G389" s="5" t="s">
        <v>120</v>
      </c>
      <c r="H389" s="3">
        <v>2004</v>
      </c>
      <c r="I389" s="5" t="str">
        <f t="shared" si="39"/>
        <v>sad132004</v>
      </c>
      <c r="J389">
        <v>0.44650000000000001</v>
      </c>
      <c r="K389">
        <v>5</v>
      </c>
      <c r="L389">
        <f t="shared" si="40"/>
        <v>1.7736000000000001</v>
      </c>
      <c r="M389">
        <v>1.7736000000000001</v>
      </c>
    </row>
    <row r="390" spans="1:13" x14ac:dyDescent="0.2">
      <c r="A390" s="3">
        <v>2002</v>
      </c>
      <c r="B390">
        <v>0.26229999999999998</v>
      </c>
      <c r="C390">
        <v>5</v>
      </c>
      <c r="G390" s="5" t="s">
        <v>120</v>
      </c>
      <c r="H390" s="3">
        <v>2005</v>
      </c>
      <c r="I390" s="5" t="str">
        <f t="shared" si="39"/>
        <v>sad132005</v>
      </c>
      <c r="J390">
        <v>0.57010000000000005</v>
      </c>
      <c r="K390">
        <v>5</v>
      </c>
      <c r="L390">
        <f t="shared" si="40"/>
        <v>2.3437000000000001</v>
      </c>
      <c r="M390">
        <v>2.3437000000000001</v>
      </c>
    </row>
    <row r="391" spans="1:13" x14ac:dyDescent="0.2">
      <c r="A391" s="3">
        <v>2003</v>
      </c>
      <c r="B391">
        <v>0.26240000000000002</v>
      </c>
      <c r="C391">
        <v>5</v>
      </c>
      <c r="G391" s="5" t="s">
        <v>120</v>
      </c>
      <c r="H391" s="3">
        <v>2006</v>
      </c>
      <c r="I391" s="5" t="str">
        <f t="shared" si="39"/>
        <v>sad132006</v>
      </c>
      <c r="J391">
        <v>0.40864999999999996</v>
      </c>
      <c r="K391">
        <v>5</v>
      </c>
      <c r="L391">
        <f t="shared" si="40"/>
        <v>2.7523499999999999</v>
      </c>
      <c r="M391">
        <v>2.7523499999999999</v>
      </c>
    </row>
    <row r="392" spans="1:13" x14ac:dyDescent="0.2">
      <c r="A392" s="3">
        <v>2004</v>
      </c>
      <c r="B392">
        <v>0.44650000000000001</v>
      </c>
      <c r="C392">
        <v>5</v>
      </c>
      <c r="G392" s="5" t="s">
        <v>120</v>
      </c>
      <c r="H392" s="3">
        <v>2007</v>
      </c>
      <c r="I392" s="5" t="str">
        <f t="shared" si="39"/>
        <v>sad132007</v>
      </c>
      <c r="J392">
        <v>0.40615000000000001</v>
      </c>
      <c r="K392">
        <v>5</v>
      </c>
      <c r="L392">
        <f t="shared" si="40"/>
        <v>3.1585000000000001</v>
      </c>
      <c r="M392">
        <v>3.1585000000000001</v>
      </c>
    </row>
    <row r="393" spans="1:13" x14ac:dyDescent="0.2">
      <c r="A393" s="3">
        <v>2005</v>
      </c>
      <c r="B393">
        <v>0.57010000000000005</v>
      </c>
      <c r="C393">
        <v>5</v>
      </c>
      <c r="G393" s="5" t="s">
        <v>120</v>
      </c>
      <c r="H393" s="3">
        <v>2008</v>
      </c>
      <c r="I393" s="5" t="str">
        <f t="shared" si="39"/>
        <v>sad132008</v>
      </c>
      <c r="J393">
        <v>0.30525000000000002</v>
      </c>
      <c r="K393">
        <v>5</v>
      </c>
      <c r="L393">
        <f t="shared" si="40"/>
        <v>3.4637500000000001</v>
      </c>
      <c r="M393">
        <v>3.4637500000000001</v>
      </c>
    </row>
    <row r="394" spans="1:13" x14ac:dyDescent="0.2">
      <c r="A394" s="3">
        <v>2006</v>
      </c>
      <c r="B394">
        <v>0.40864999999999996</v>
      </c>
      <c r="C394">
        <v>5</v>
      </c>
      <c r="G394" s="5" t="s">
        <v>120</v>
      </c>
      <c r="H394" s="3">
        <v>2009</v>
      </c>
      <c r="I394" s="5" t="str">
        <f t="shared" si="39"/>
        <v>sad132009</v>
      </c>
      <c r="J394">
        <v>0.40359999999999996</v>
      </c>
      <c r="K394">
        <v>5</v>
      </c>
      <c r="L394">
        <f t="shared" si="40"/>
        <v>3.8673500000000001</v>
      </c>
      <c r="M394">
        <v>3.8673500000000001</v>
      </c>
    </row>
    <row r="395" spans="1:13" x14ac:dyDescent="0.2">
      <c r="A395" s="3">
        <v>2007</v>
      </c>
      <c r="B395">
        <v>0.40615000000000001</v>
      </c>
      <c r="C395">
        <v>5</v>
      </c>
      <c r="G395" s="5" t="s">
        <v>120</v>
      </c>
      <c r="H395" s="3">
        <v>2010</v>
      </c>
      <c r="I395" s="5" t="str">
        <f t="shared" si="39"/>
        <v>sad132010</v>
      </c>
      <c r="J395">
        <v>0.25985000000000003</v>
      </c>
      <c r="K395">
        <v>5</v>
      </c>
      <c r="L395">
        <f t="shared" si="40"/>
        <v>4.1272000000000002</v>
      </c>
      <c r="M395">
        <v>4.1272000000000002</v>
      </c>
    </row>
    <row r="396" spans="1:13" x14ac:dyDescent="0.2">
      <c r="A396" s="3">
        <v>2008</v>
      </c>
      <c r="B396">
        <v>0.30525000000000002</v>
      </c>
      <c r="C396">
        <v>5</v>
      </c>
      <c r="G396" s="5" t="s">
        <v>120</v>
      </c>
      <c r="H396" s="3">
        <v>2011</v>
      </c>
      <c r="I396" s="5" t="str">
        <f t="shared" si="39"/>
        <v>sad132011</v>
      </c>
      <c r="J396">
        <v>0.26995000000000002</v>
      </c>
      <c r="K396">
        <v>5</v>
      </c>
      <c r="L396">
        <f>L397-J397</f>
        <v>4.3971499999999999</v>
      </c>
      <c r="M396">
        <v>4.3971499999999999</v>
      </c>
    </row>
    <row r="397" spans="1:13" x14ac:dyDescent="0.2">
      <c r="A397" s="3">
        <v>2009</v>
      </c>
      <c r="B397">
        <v>0.40359999999999996</v>
      </c>
      <c r="C397">
        <v>5</v>
      </c>
      <c r="G397" s="5" t="s">
        <v>120</v>
      </c>
      <c r="H397" s="3">
        <v>2012</v>
      </c>
      <c r="I397" s="5" t="str">
        <f t="shared" si="39"/>
        <v>sad132012</v>
      </c>
      <c r="J397">
        <v>0.32284999999999997</v>
      </c>
      <c r="K397">
        <v>5</v>
      </c>
      <c r="L397">
        <f>K397-J398</f>
        <v>4.72</v>
      </c>
      <c r="M397">
        <v>4.72</v>
      </c>
    </row>
    <row r="398" spans="1:13" x14ac:dyDescent="0.2">
      <c r="A398" s="3">
        <v>2010</v>
      </c>
      <c r="B398">
        <v>0.25985000000000003</v>
      </c>
      <c r="C398">
        <v>5</v>
      </c>
      <c r="G398" s="5" t="s">
        <v>120</v>
      </c>
      <c r="H398" s="3">
        <v>2013</v>
      </c>
      <c r="I398" s="5" t="str">
        <f t="shared" si="39"/>
        <v>sad132013</v>
      </c>
      <c r="J398">
        <v>0.28000000000000003</v>
      </c>
      <c r="K398">
        <v>5</v>
      </c>
      <c r="M398">
        <v>5</v>
      </c>
    </row>
    <row r="399" spans="1:13" x14ac:dyDescent="0.2">
      <c r="A399" s="3">
        <v>2011</v>
      </c>
      <c r="B399">
        <v>0.26995000000000002</v>
      </c>
      <c r="C399">
        <v>5</v>
      </c>
      <c r="H399" s="5" t="s">
        <v>123</v>
      </c>
      <c r="I399" s="5" t="str">
        <f t="shared" si="39"/>
        <v>sad14</v>
      </c>
      <c r="J399" s="6">
        <v>0.53335714285714286</v>
      </c>
      <c r="K399" s="6">
        <v>4</v>
      </c>
      <c r="M399">
        <v>4</v>
      </c>
    </row>
    <row r="400" spans="1:13" x14ac:dyDescent="0.2">
      <c r="A400" s="3">
        <v>2012</v>
      </c>
      <c r="B400">
        <v>0.32284999999999997</v>
      </c>
      <c r="C400">
        <v>5</v>
      </c>
      <c r="G400" s="5" t="s">
        <v>123</v>
      </c>
      <c r="H400" s="3">
        <v>2010</v>
      </c>
      <c r="I400" s="5" t="str">
        <f t="shared" si="39"/>
        <v>sad142010</v>
      </c>
      <c r="J400">
        <v>0.50960000000000005</v>
      </c>
      <c r="K400">
        <v>4</v>
      </c>
      <c r="L400">
        <f>L401-J401</f>
        <v>2.3880499999999998</v>
      </c>
      <c r="M400">
        <v>2.3880499999999998</v>
      </c>
    </row>
    <row r="401" spans="1:13" x14ac:dyDescent="0.2">
      <c r="A401" s="3">
        <v>2013</v>
      </c>
      <c r="B401">
        <v>0.28000000000000003</v>
      </c>
      <c r="C401">
        <v>5</v>
      </c>
      <c r="G401" s="5" t="s">
        <v>123</v>
      </c>
      <c r="H401" s="3">
        <v>2011</v>
      </c>
      <c r="I401" s="5" t="str">
        <f t="shared" si="39"/>
        <v>sad142011</v>
      </c>
      <c r="J401">
        <v>0.77445000000000008</v>
      </c>
      <c r="K401">
        <v>4</v>
      </c>
      <c r="L401">
        <f>L402-J402</f>
        <v>3.1624999999999996</v>
      </c>
      <c r="M401">
        <v>3.1624999999999996</v>
      </c>
    </row>
    <row r="402" spans="1:13" x14ac:dyDescent="0.2">
      <c r="A402" s="2" t="s">
        <v>123</v>
      </c>
      <c r="B402">
        <v>0.53335714285714286</v>
      </c>
      <c r="C402">
        <v>4</v>
      </c>
      <c r="G402" s="5" t="s">
        <v>123</v>
      </c>
      <c r="H402" s="3">
        <v>2012</v>
      </c>
      <c r="I402" s="5" t="str">
        <f t="shared" si="39"/>
        <v>sad142012</v>
      </c>
      <c r="J402">
        <v>0.47175</v>
      </c>
      <c r="K402">
        <v>4</v>
      </c>
      <c r="L402">
        <f>K402-J403</f>
        <v>3.6342499999999998</v>
      </c>
      <c r="M402">
        <v>3.6342499999999998</v>
      </c>
    </row>
    <row r="403" spans="1:13" x14ac:dyDescent="0.2">
      <c r="A403" s="3">
        <v>2010</v>
      </c>
      <c r="B403">
        <v>0.50960000000000005</v>
      </c>
      <c r="C403">
        <v>4</v>
      </c>
      <c r="G403" s="5" t="s">
        <v>123</v>
      </c>
      <c r="H403" s="3">
        <v>2013</v>
      </c>
      <c r="I403" s="5" t="str">
        <f t="shared" si="39"/>
        <v>sad142013</v>
      </c>
      <c r="J403">
        <v>0.36575000000000002</v>
      </c>
      <c r="K403">
        <v>4</v>
      </c>
      <c r="M403">
        <v>4</v>
      </c>
    </row>
    <row r="404" spans="1:13" x14ac:dyDescent="0.2">
      <c r="A404" s="3">
        <v>2011</v>
      </c>
      <c r="B404">
        <v>0.77445000000000008</v>
      </c>
      <c r="C404">
        <v>4</v>
      </c>
      <c r="H404" s="5" t="s">
        <v>126</v>
      </c>
      <c r="I404" s="5" t="str">
        <f t="shared" si="39"/>
        <v>sad15</v>
      </c>
      <c r="J404" s="6">
        <v>0.76785714285714302</v>
      </c>
      <c r="K404" s="6">
        <v>14</v>
      </c>
      <c r="M404">
        <v>14</v>
      </c>
    </row>
    <row r="405" spans="1:13" x14ac:dyDescent="0.2">
      <c r="A405" s="3">
        <v>2012</v>
      </c>
      <c r="B405">
        <v>0.47175</v>
      </c>
      <c r="C405">
        <v>4</v>
      </c>
      <c r="G405" s="5" t="s">
        <v>126</v>
      </c>
      <c r="H405" s="3">
        <v>2000</v>
      </c>
      <c r="I405" s="5" t="str">
        <f t="shared" si="39"/>
        <v>sad152000</v>
      </c>
      <c r="J405">
        <v>0.66</v>
      </c>
      <c r="K405">
        <v>14</v>
      </c>
      <c r="L405">
        <f t="shared" ref="L405:L415" si="41">L406-J406</f>
        <v>3.9099999999999979</v>
      </c>
      <c r="M405">
        <v>3.9099999999999979</v>
      </c>
    </row>
    <row r="406" spans="1:13" x14ac:dyDescent="0.2">
      <c r="A406" s="3">
        <v>2013</v>
      </c>
      <c r="B406">
        <v>0.36575000000000002</v>
      </c>
      <c r="C406">
        <v>4</v>
      </c>
      <c r="G406" s="5" t="s">
        <v>126</v>
      </c>
      <c r="H406" s="3">
        <v>2001</v>
      </c>
      <c r="I406" s="5" t="str">
        <f t="shared" si="39"/>
        <v>sad152001</v>
      </c>
      <c r="J406">
        <v>0.86750000000000005</v>
      </c>
      <c r="K406">
        <v>14</v>
      </c>
      <c r="L406">
        <f t="shared" si="41"/>
        <v>4.7774999999999981</v>
      </c>
      <c r="M406">
        <v>4.7774999999999981</v>
      </c>
    </row>
    <row r="407" spans="1:13" x14ac:dyDescent="0.2">
      <c r="A407" s="2" t="s">
        <v>126</v>
      </c>
      <c r="B407">
        <v>0.76785714285714302</v>
      </c>
      <c r="C407">
        <v>14</v>
      </c>
      <c r="G407" s="5" t="s">
        <v>126</v>
      </c>
      <c r="H407" s="3">
        <v>2002</v>
      </c>
      <c r="I407" s="5" t="str">
        <f t="shared" si="39"/>
        <v>sad152002</v>
      </c>
      <c r="J407">
        <v>0.6925</v>
      </c>
      <c r="K407">
        <v>14</v>
      </c>
      <c r="L407">
        <f t="shared" si="41"/>
        <v>5.469999999999998</v>
      </c>
      <c r="M407">
        <v>5.469999999999998</v>
      </c>
    </row>
    <row r="408" spans="1:13" x14ac:dyDescent="0.2">
      <c r="A408" s="3">
        <v>2000</v>
      </c>
      <c r="B408">
        <v>0.66</v>
      </c>
      <c r="C408">
        <v>14</v>
      </c>
      <c r="G408" s="5" t="s">
        <v>126</v>
      </c>
      <c r="H408" s="3">
        <v>2003</v>
      </c>
      <c r="I408" s="5" t="str">
        <f t="shared" si="39"/>
        <v>sad152003</v>
      </c>
      <c r="J408">
        <v>0.8</v>
      </c>
      <c r="K408">
        <v>14</v>
      </c>
      <c r="L408">
        <f t="shared" si="41"/>
        <v>6.2699999999999978</v>
      </c>
      <c r="M408">
        <v>6.2699999999999978</v>
      </c>
    </row>
    <row r="409" spans="1:13" x14ac:dyDescent="0.2">
      <c r="A409" s="3">
        <v>2001</v>
      </c>
      <c r="B409">
        <v>0.86750000000000005</v>
      </c>
      <c r="C409">
        <v>14</v>
      </c>
      <c r="G409" s="5" t="s">
        <v>126</v>
      </c>
      <c r="H409" s="3">
        <v>2004</v>
      </c>
      <c r="I409" s="5" t="str">
        <f t="shared" si="39"/>
        <v>sad152004</v>
      </c>
      <c r="J409">
        <v>0.77499999999999991</v>
      </c>
      <c r="K409">
        <v>14</v>
      </c>
      <c r="L409">
        <f t="shared" si="41"/>
        <v>7.0449999999999982</v>
      </c>
      <c r="M409">
        <v>7.0449999999999982</v>
      </c>
    </row>
    <row r="410" spans="1:13" x14ac:dyDescent="0.2">
      <c r="A410" s="3">
        <v>2002</v>
      </c>
      <c r="B410">
        <v>0.6925</v>
      </c>
      <c r="C410">
        <v>14</v>
      </c>
      <c r="G410" s="5" t="s">
        <v>126</v>
      </c>
      <c r="H410" s="3">
        <v>2005</v>
      </c>
      <c r="I410" s="5" t="str">
        <f t="shared" si="39"/>
        <v>sad152005</v>
      </c>
      <c r="J410">
        <v>1.0725</v>
      </c>
      <c r="K410">
        <v>14</v>
      </c>
      <c r="L410">
        <f t="shared" si="41"/>
        <v>8.1174999999999979</v>
      </c>
      <c r="M410">
        <v>8.1174999999999979</v>
      </c>
    </row>
    <row r="411" spans="1:13" x14ac:dyDescent="0.2">
      <c r="A411" s="3">
        <v>2003</v>
      </c>
      <c r="B411">
        <v>0.8</v>
      </c>
      <c r="C411">
        <v>14</v>
      </c>
      <c r="G411" s="5" t="s">
        <v>126</v>
      </c>
      <c r="H411" s="3">
        <v>2006</v>
      </c>
      <c r="I411" s="5" t="str">
        <f t="shared" si="39"/>
        <v>sad152006</v>
      </c>
      <c r="J411">
        <v>0.82250000000000001</v>
      </c>
      <c r="K411">
        <v>14</v>
      </c>
      <c r="L411">
        <f t="shared" si="41"/>
        <v>8.9399999999999977</v>
      </c>
      <c r="M411">
        <v>8.9399999999999977</v>
      </c>
    </row>
    <row r="412" spans="1:13" x14ac:dyDescent="0.2">
      <c r="A412" s="3">
        <v>2004</v>
      </c>
      <c r="B412">
        <v>0.77499999999999991</v>
      </c>
      <c r="C412">
        <v>14</v>
      </c>
      <c r="G412" s="5" t="s">
        <v>126</v>
      </c>
      <c r="H412" s="3">
        <v>2007</v>
      </c>
      <c r="I412" s="5" t="str">
        <f t="shared" si="39"/>
        <v>sad152007</v>
      </c>
      <c r="J412">
        <v>0.92749999999999999</v>
      </c>
      <c r="K412">
        <v>14</v>
      </c>
      <c r="L412">
        <f t="shared" si="41"/>
        <v>9.8674999999999979</v>
      </c>
      <c r="M412">
        <v>9.8674999999999979</v>
      </c>
    </row>
    <row r="413" spans="1:13" x14ac:dyDescent="0.2">
      <c r="A413" s="3">
        <v>2005</v>
      </c>
      <c r="B413">
        <v>1.0725</v>
      </c>
      <c r="C413">
        <v>14</v>
      </c>
      <c r="G413" s="5" t="s">
        <v>126</v>
      </c>
      <c r="H413" s="3">
        <v>2008</v>
      </c>
      <c r="I413" s="5" t="str">
        <f t="shared" si="39"/>
        <v>sad152008</v>
      </c>
      <c r="J413">
        <v>0.90249999999999997</v>
      </c>
      <c r="K413">
        <v>14</v>
      </c>
      <c r="L413">
        <f t="shared" si="41"/>
        <v>10.769999999999998</v>
      </c>
      <c r="M413">
        <v>10.769999999999998</v>
      </c>
    </row>
    <row r="414" spans="1:13" x14ac:dyDescent="0.2">
      <c r="A414" s="3">
        <v>2006</v>
      </c>
      <c r="B414">
        <v>0.82250000000000001</v>
      </c>
      <c r="C414">
        <v>14</v>
      </c>
      <c r="G414" s="5" t="s">
        <v>126</v>
      </c>
      <c r="H414" s="3">
        <v>2009</v>
      </c>
      <c r="I414" s="5" t="str">
        <f t="shared" si="39"/>
        <v>sad152009</v>
      </c>
      <c r="J414">
        <v>0.82750000000000001</v>
      </c>
      <c r="K414">
        <v>14</v>
      </c>
      <c r="L414">
        <f t="shared" si="41"/>
        <v>11.597499999999998</v>
      </c>
      <c r="M414">
        <v>11.597499999999998</v>
      </c>
    </row>
    <row r="415" spans="1:13" x14ac:dyDescent="0.2">
      <c r="A415" s="3">
        <v>2007</v>
      </c>
      <c r="B415">
        <v>0.92749999999999999</v>
      </c>
      <c r="C415">
        <v>14</v>
      </c>
      <c r="G415" s="5" t="s">
        <v>126</v>
      </c>
      <c r="H415" s="3">
        <v>2010</v>
      </c>
      <c r="I415" s="5" t="str">
        <f t="shared" si="39"/>
        <v>sad152010</v>
      </c>
      <c r="J415">
        <v>0.78499999999999992</v>
      </c>
      <c r="K415">
        <v>14</v>
      </c>
      <c r="L415">
        <f t="shared" si="41"/>
        <v>12.382499999999999</v>
      </c>
      <c r="M415">
        <v>12.382499999999999</v>
      </c>
    </row>
    <row r="416" spans="1:13" x14ac:dyDescent="0.2">
      <c r="A416" s="3">
        <v>2008</v>
      </c>
      <c r="B416">
        <v>0.90249999999999997</v>
      </c>
      <c r="C416">
        <v>14</v>
      </c>
      <c r="G416" s="5" t="s">
        <v>126</v>
      </c>
      <c r="H416" s="3">
        <v>2011</v>
      </c>
      <c r="I416" s="5" t="str">
        <f t="shared" si="39"/>
        <v>sad152011</v>
      </c>
      <c r="J416">
        <v>0.62249999999999994</v>
      </c>
      <c r="K416">
        <v>14</v>
      </c>
      <c r="L416">
        <f>L417-J417</f>
        <v>13.004999999999999</v>
      </c>
      <c r="M416">
        <v>13.004999999999999</v>
      </c>
    </row>
    <row r="417" spans="1:13" x14ac:dyDescent="0.2">
      <c r="A417" s="3">
        <v>2009</v>
      </c>
      <c r="B417">
        <v>0.82750000000000001</v>
      </c>
      <c r="C417">
        <v>14</v>
      </c>
      <c r="G417" s="5" t="s">
        <v>126</v>
      </c>
      <c r="H417" s="3">
        <v>2012</v>
      </c>
      <c r="I417" s="5" t="str">
        <f t="shared" si="39"/>
        <v>sad152012</v>
      </c>
      <c r="J417">
        <v>0.54249999999999998</v>
      </c>
      <c r="K417">
        <v>14</v>
      </c>
      <c r="L417">
        <f>K417-J418</f>
        <v>13.547499999999999</v>
      </c>
      <c r="M417">
        <v>13.547499999999999</v>
      </c>
    </row>
    <row r="418" spans="1:13" x14ac:dyDescent="0.2">
      <c r="A418" s="3">
        <v>2010</v>
      </c>
      <c r="B418">
        <v>0.78499999999999992</v>
      </c>
      <c r="C418">
        <v>14</v>
      </c>
      <c r="G418" s="5" t="s">
        <v>126</v>
      </c>
      <c r="H418" s="3">
        <v>2013</v>
      </c>
      <c r="I418" s="5" t="str">
        <f t="shared" si="39"/>
        <v>sad152013</v>
      </c>
      <c r="J418">
        <v>0.45250000000000001</v>
      </c>
      <c r="K418">
        <v>14</v>
      </c>
      <c r="M418">
        <v>14</v>
      </c>
    </row>
    <row r="419" spans="1:13" x14ac:dyDescent="0.2">
      <c r="A419" s="3">
        <v>2011</v>
      </c>
      <c r="B419">
        <v>0.62249999999999994</v>
      </c>
      <c r="C419">
        <v>14</v>
      </c>
      <c r="H419" s="5" t="s">
        <v>129</v>
      </c>
      <c r="I419" s="5" t="str">
        <f t="shared" si="39"/>
        <v>sad22</v>
      </c>
      <c r="J419" s="6">
        <v>0.64924736842105257</v>
      </c>
      <c r="K419" s="6">
        <v>7</v>
      </c>
      <c r="M419">
        <v>7</v>
      </c>
    </row>
    <row r="420" spans="1:13" x14ac:dyDescent="0.2">
      <c r="A420" s="3">
        <v>2012</v>
      </c>
      <c r="B420">
        <v>0.54249999999999998</v>
      </c>
      <c r="C420">
        <v>14</v>
      </c>
      <c r="G420" s="5" t="s">
        <v>129</v>
      </c>
      <c r="H420" s="3">
        <v>2004</v>
      </c>
      <c r="I420" s="5" t="str">
        <f t="shared" si="39"/>
        <v>sad222004</v>
      </c>
      <c r="J420">
        <v>0.72650000000000003</v>
      </c>
      <c r="K420">
        <v>7</v>
      </c>
      <c r="L420">
        <f t="shared" ref="L420:L426" si="42">L421-J421</f>
        <v>1.1953999999999994</v>
      </c>
      <c r="M420">
        <v>1.1953999999999994</v>
      </c>
    </row>
    <row r="421" spans="1:13" x14ac:dyDescent="0.2">
      <c r="A421" s="3">
        <v>2013</v>
      </c>
      <c r="B421">
        <v>0.45250000000000001</v>
      </c>
      <c r="C421">
        <v>14</v>
      </c>
      <c r="G421" s="5" t="s">
        <v>129</v>
      </c>
      <c r="H421" s="3">
        <v>2005</v>
      </c>
      <c r="I421" s="5" t="str">
        <f t="shared" si="39"/>
        <v>sad222005</v>
      </c>
      <c r="J421">
        <v>1.0116000000000001</v>
      </c>
      <c r="K421">
        <v>7</v>
      </c>
      <c r="L421">
        <f t="shared" si="42"/>
        <v>2.2069999999999994</v>
      </c>
      <c r="M421">
        <v>2.2069999999999994</v>
      </c>
    </row>
    <row r="422" spans="1:13" x14ac:dyDescent="0.2">
      <c r="A422" s="2" t="s">
        <v>129</v>
      </c>
      <c r="B422">
        <v>0.64924736842105257</v>
      </c>
      <c r="C422">
        <v>7</v>
      </c>
      <c r="G422" s="5" t="s">
        <v>129</v>
      </c>
      <c r="H422" s="3">
        <v>2006</v>
      </c>
      <c r="I422" s="5" t="str">
        <f t="shared" si="39"/>
        <v>sad222006</v>
      </c>
      <c r="J422">
        <v>0.47924999999999995</v>
      </c>
      <c r="K422">
        <v>7</v>
      </c>
      <c r="L422">
        <f t="shared" si="42"/>
        <v>2.6862499999999994</v>
      </c>
      <c r="M422">
        <v>2.6862499999999994</v>
      </c>
    </row>
    <row r="423" spans="1:13" x14ac:dyDescent="0.2">
      <c r="A423" s="3">
        <v>2004</v>
      </c>
      <c r="B423">
        <v>0.72650000000000003</v>
      </c>
      <c r="C423">
        <v>7</v>
      </c>
      <c r="G423" s="5" t="s">
        <v>129</v>
      </c>
      <c r="H423" s="3">
        <v>2007</v>
      </c>
      <c r="I423" s="5" t="str">
        <f t="shared" si="39"/>
        <v>sad222007</v>
      </c>
      <c r="J423">
        <v>0.71389999999999998</v>
      </c>
      <c r="K423">
        <v>7</v>
      </c>
      <c r="L423">
        <f t="shared" si="42"/>
        <v>3.4001499999999996</v>
      </c>
      <c r="M423">
        <v>3.4001499999999996</v>
      </c>
    </row>
    <row r="424" spans="1:13" x14ac:dyDescent="0.2">
      <c r="A424" s="3">
        <v>2005</v>
      </c>
      <c r="B424">
        <v>1.0116000000000001</v>
      </c>
      <c r="C424">
        <v>7</v>
      </c>
      <c r="G424" s="5" t="s">
        <v>129</v>
      </c>
      <c r="H424" s="3">
        <v>2008</v>
      </c>
      <c r="I424" s="5" t="str">
        <f t="shared" si="39"/>
        <v>sad222008</v>
      </c>
      <c r="J424">
        <v>0.84509999999999996</v>
      </c>
      <c r="K424">
        <v>7</v>
      </c>
      <c r="L424">
        <f t="shared" si="42"/>
        <v>4.2452499999999995</v>
      </c>
      <c r="M424">
        <v>4.2452499999999995</v>
      </c>
    </row>
    <row r="425" spans="1:13" x14ac:dyDescent="0.2">
      <c r="A425" s="3">
        <v>2006</v>
      </c>
      <c r="B425">
        <v>0.47924999999999995</v>
      </c>
      <c r="C425">
        <v>7</v>
      </c>
      <c r="G425" s="5" t="s">
        <v>129</v>
      </c>
      <c r="H425" s="3">
        <v>2009</v>
      </c>
      <c r="I425" s="5" t="str">
        <f t="shared" si="39"/>
        <v>sad222009</v>
      </c>
      <c r="J425">
        <v>0.50450000000000006</v>
      </c>
      <c r="K425">
        <v>7</v>
      </c>
      <c r="L425">
        <f t="shared" si="42"/>
        <v>4.7497499999999997</v>
      </c>
      <c r="M425">
        <v>4.7497499999999997</v>
      </c>
    </row>
    <row r="426" spans="1:13" x14ac:dyDescent="0.2">
      <c r="A426" s="3">
        <v>2007</v>
      </c>
      <c r="B426">
        <v>0.71389999999999998</v>
      </c>
      <c r="C426">
        <v>7</v>
      </c>
      <c r="G426" s="5" t="s">
        <v>129</v>
      </c>
      <c r="H426" s="3">
        <v>2010</v>
      </c>
      <c r="I426" s="5" t="str">
        <f t="shared" si="39"/>
        <v>sad222010</v>
      </c>
      <c r="J426">
        <v>0.45155000000000001</v>
      </c>
      <c r="K426">
        <v>7</v>
      </c>
      <c r="L426">
        <f t="shared" si="42"/>
        <v>5.2012999999999998</v>
      </c>
      <c r="M426">
        <v>5.2012999999999998</v>
      </c>
    </row>
    <row r="427" spans="1:13" x14ac:dyDescent="0.2">
      <c r="A427" s="3">
        <v>2008</v>
      </c>
      <c r="B427">
        <v>0.84509999999999996</v>
      </c>
      <c r="C427">
        <v>7</v>
      </c>
      <c r="G427" s="5" t="s">
        <v>129</v>
      </c>
      <c r="H427" s="3">
        <v>2011</v>
      </c>
      <c r="I427" s="5" t="str">
        <f t="shared" si="39"/>
        <v>sad222011</v>
      </c>
      <c r="J427">
        <v>0.53734999999999999</v>
      </c>
      <c r="K427">
        <v>7</v>
      </c>
      <c r="L427">
        <f>L428-J428</f>
        <v>5.7386499999999998</v>
      </c>
      <c r="M427">
        <v>5.7386499999999998</v>
      </c>
    </row>
    <row r="428" spans="1:13" x14ac:dyDescent="0.2">
      <c r="A428" s="3">
        <v>2009</v>
      </c>
      <c r="B428">
        <v>0.50450000000000006</v>
      </c>
      <c r="C428">
        <v>7</v>
      </c>
      <c r="G428" s="5" t="s">
        <v>129</v>
      </c>
      <c r="H428" s="3">
        <v>2012</v>
      </c>
      <c r="I428" s="5" t="str">
        <f t="shared" si="39"/>
        <v>sad222012</v>
      </c>
      <c r="J428">
        <v>0.50960000000000005</v>
      </c>
      <c r="K428">
        <v>7</v>
      </c>
      <c r="L428">
        <f>K428-J429</f>
        <v>6.2482499999999996</v>
      </c>
      <c r="M428">
        <v>6.2482499999999996</v>
      </c>
    </row>
    <row r="429" spans="1:13" x14ac:dyDescent="0.2">
      <c r="A429" s="3">
        <v>2010</v>
      </c>
      <c r="B429">
        <v>0.45155000000000001</v>
      </c>
      <c r="C429">
        <v>7</v>
      </c>
      <c r="G429" s="5" t="s">
        <v>129</v>
      </c>
      <c r="H429" s="3">
        <v>2013</v>
      </c>
      <c r="I429" s="5" t="str">
        <f t="shared" si="39"/>
        <v>sad222013</v>
      </c>
      <c r="J429">
        <v>0.75175000000000003</v>
      </c>
      <c r="K429">
        <v>7</v>
      </c>
      <c r="M429">
        <v>7</v>
      </c>
    </row>
    <row r="430" spans="1:13" x14ac:dyDescent="0.2">
      <c r="A430" s="3">
        <v>2011</v>
      </c>
      <c r="B430">
        <v>0.53734999999999999</v>
      </c>
      <c r="C430">
        <v>7</v>
      </c>
    </row>
    <row r="431" spans="1:13" x14ac:dyDescent="0.2">
      <c r="A431" s="3">
        <v>2012</v>
      </c>
      <c r="B431">
        <v>0.50960000000000005</v>
      </c>
      <c r="C431">
        <v>7</v>
      </c>
    </row>
    <row r="432" spans="1:13" x14ac:dyDescent="0.2">
      <c r="A432" s="3">
        <v>2013</v>
      </c>
      <c r="B432">
        <v>0.75175000000000003</v>
      </c>
      <c r="C432">
        <v>7</v>
      </c>
    </row>
    <row r="433" spans="1:3" x14ac:dyDescent="0.2">
      <c r="A433" s="2" t="s">
        <v>133</v>
      </c>
      <c r="B433">
        <v>0.60126345646438073</v>
      </c>
      <c r="C433">
        <v>15</v>
      </c>
    </row>
    <row r="435" spans="1:3" x14ac:dyDescent="0.2">
      <c r="A435" s="1" t="s">
        <v>132</v>
      </c>
      <c r="B435" t="s">
        <v>140</v>
      </c>
      <c r="C435" t="s">
        <v>141</v>
      </c>
    </row>
    <row r="436" spans="1:3" x14ac:dyDescent="0.2">
      <c r="A436" s="2" t="s">
        <v>10</v>
      </c>
      <c r="B436">
        <v>2013</v>
      </c>
      <c r="C436">
        <v>2005</v>
      </c>
    </row>
    <row r="437" spans="1:3" x14ac:dyDescent="0.2">
      <c r="A437" s="2" t="s">
        <v>17</v>
      </c>
      <c r="B437">
        <v>2013</v>
      </c>
      <c r="C437">
        <v>2010</v>
      </c>
    </row>
    <row r="438" spans="1:3" x14ac:dyDescent="0.2">
      <c r="A438" s="2" t="s">
        <v>20</v>
      </c>
      <c r="B438">
        <v>2013</v>
      </c>
      <c r="C438">
        <v>2005</v>
      </c>
    </row>
    <row r="439" spans="1:3" x14ac:dyDescent="0.2">
      <c r="A439" s="2" t="s">
        <v>23</v>
      </c>
      <c r="B439">
        <v>2013</v>
      </c>
      <c r="C439">
        <v>2002</v>
      </c>
    </row>
    <row r="440" spans="1:3" x14ac:dyDescent="0.2">
      <c r="A440" s="2" t="s">
        <v>26</v>
      </c>
      <c r="B440">
        <v>2013</v>
      </c>
      <c r="C440">
        <v>2000</v>
      </c>
    </row>
    <row r="441" spans="1:3" x14ac:dyDescent="0.2">
      <c r="A441" s="2" t="s">
        <v>29</v>
      </c>
      <c r="B441">
        <v>2013</v>
      </c>
      <c r="C441">
        <v>2010</v>
      </c>
    </row>
    <row r="442" spans="1:3" x14ac:dyDescent="0.2">
      <c r="A442" s="2" t="s">
        <v>32</v>
      </c>
      <c r="B442">
        <v>2013</v>
      </c>
      <c r="C442">
        <v>2008</v>
      </c>
    </row>
    <row r="443" spans="1:3" x14ac:dyDescent="0.2">
      <c r="A443" s="2" t="s">
        <v>35</v>
      </c>
      <c r="B443">
        <v>2013</v>
      </c>
      <c r="C443">
        <v>2004</v>
      </c>
    </row>
    <row r="444" spans="1:3" x14ac:dyDescent="0.2">
      <c r="A444" s="2" t="s">
        <v>39</v>
      </c>
      <c r="B444">
        <v>2013</v>
      </c>
      <c r="C444">
        <v>2004</v>
      </c>
    </row>
    <row r="445" spans="1:3" x14ac:dyDescent="0.2">
      <c r="A445" s="2" t="s">
        <v>42</v>
      </c>
      <c r="B445">
        <v>2013</v>
      </c>
      <c r="C445">
        <v>2005</v>
      </c>
    </row>
    <row r="446" spans="1:3" x14ac:dyDescent="0.2">
      <c r="A446" s="2" t="s">
        <v>45</v>
      </c>
      <c r="B446">
        <v>2013</v>
      </c>
      <c r="C446">
        <v>2003</v>
      </c>
    </row>
    <row r="447" spans="1:3" x14ac:dyDescent="0.2">
      <c r="A447" s="2" t="s">
        <v>48</v>
      </c>
      <c r="B447">
        <v>2013</v>
      </c>
      <c r="C447">
        <v>2004</v>
      </c>
    </row>
    <row r="448" spans="1:3" x14ac:dyDescent="0.2">
      <c r="A448" s="2" t="s">
        <v>51</v>
      </c>
      <c r="B448">
        <v>2013</v>
      </c>
      <c r="C448">
        <v>2002</v>
      </c>
    </row>
    <row r="449" spans="1:3" x14ac:dyDescent="0.2">
      <c r="A449" s="2" t="s">
        <v>54</v>
      </c>
      <c r="B449">
        <v>2013</v>
      </c>
      <c r="C449">
        <v>2000</v>
      </c>
    </row>
    <row r="450" spans="1:3" x14ac:dyDescent="0.2">
      <c r="A450" s="2" t="s">
        <v>58</v>
      </c>
      <c r="B450">
        <v>2013</v>
      </c>
      <c r="C450">
        <v>2003</v>
      </c>
    </row>
    <row r="451" spans="1:3" x14ac:dyDescent="0.2">
      <c r="A451" s="2" t="s">
        <v>61</v>
      </c>
      <c r="B451">
        <v>2013</v>
      </c>
      <c r="C451">
        <v>2005</v>
      </c>
    </row>
    <row r="452" spans="1:3" x14ac:dyDescent="0.2">
      <c r="A452" s="2" t="s">
        <v>64</v>
      </c>
      <c r="B452">
        <v>2013</v>
      </c>
      <c r="C452">
        <v>2000</v>
      </c>
    </row>
    <row r="453" spans="1:3" x14ac:dyDescent="0.2">
      <c r="A453" s="2" t="s">
        <v>67</v>
      </c>
      <c r="B453">
        <v>2013</v>
      </c>
      <c r="C453">
        <v>2004</v>
      </c>
    </row>
    <row r="454" spans="1:3" x14ac:dyDescent="0.2">
      <c r="A454" s="2" t="s">
        <v>70</v>
      </c>
      <c r="B454">
        <v>2013</v>
      </c>
      <c r="C454">
        <v>2004</v>
      </c>
    </row>
    <row r="455" spans="1:3" x14ac:dyDescent="0.2">
      <c r="A455" s="2" t="s">
        <v>73</v>
      </c>
      <c r="B455">
        <v>2013</v>
      </c>
      <c r="C455">
        <v>2008</v>
      </c>
    </row>
    <row r="456" spans="1:3" x14ac:dyDescent="0.2">
      <c r="A456" s="2" t="s">
        <v>76</v>
      </c>
      <c r="B456">
        <v>2013</v>
      </c>
      <c r="C456">
        <v>2008</v>
      </c>
    </row>
    <row r="457" spans="1:3" x14ac:dyDescent="0.2">
      <c r="A457" s="2" t="s">
        <v>79</v>
      </c>
      <c r="B457">
        <v>2013</v>
      </c>
      <c r="C457">
        <v>2000</v>
      </c>
    </row>
    <row r="458" spans="1:3" x14ac:dyDescent="0.2">
      <c r="A458" s="2" t="s">
        <v>83</v>
      </c>
      <c r="B458">
        <v>2013</v>
      </c>
      <c r="C458">
        <v>2006</v>
      </c>
    </row>
    <row r="459" spans="1:3" x14ac:dyDescent="0.2">
      <c r="A459" s="2" t="s">
        <v>86</v>
      </c>
      <c r="B459">
        <v>2013</v>
      </c>
      <c r="C459">
        <v>2006</v>
      </c>
    </row>
    <row r="460" spans="1:3" x14ac:dyDescent="0.2">
      <c r="A460" s="2" t="s">
        <v>89</v>
      </c>
      <c r="B460">
        <v>2013</v>
      </c>
      <c r="C460">
        <v>2001</v>
      </c>
    </row>
    <row r="461" spans="1:3" x14ac:dyDescent="0.2">
      <c r="A461" s="2" t="s">
        <v>92</v>
      </c>
      <c r="B461">
        <v>2013</v>
      </c>
      <c r="C461">
        <v>2000</v>
      </c>
    </row>
    <row r="462" spans="1:3" x14ac:dyDescent="0.2">
      <c r="A462" s="2" t="s">
        <v>95</v>
      </c>
      <c r="B462">
        <v>2013</v>
      </c>
      <c r="C462">
        <v>2002</v>
      </c>
    </row>
    <row r="463" spans="1:3" x14ac:dyDescent="0.2">
      <c r="A463" s="2" t="s">
        <v>98</v>
      </c>
      <c r="B463">
        <v>2013</v>
      </c>
      <c r="C463">
        <v>2004</v>
      </c>
    </row>
    <row r="464" spans="1:3" x14ac:dyDescent="0.2">
      <c r="A464" s="2" t="s">
        <v>101</v>
      </c>
      <c r="B464">
        <v>2013</v>
      </c>
      <c r="C464">
        <v>2003</v>
      </c>
    </row>
    <row r="465" spans="1:3" x14ac:dyDescent="0.2">
      <c r="A465" s="2" t="s">
        <v>104</v>
      </c>
      <c r="B465">
        <v>2013</v>
      </c>
      <c r="C465">
        <v>2003</v>
      </c>
    </row>
    <row r="466" spans="1:3" x14ac:dyDescent="0.2">
      <c r="A466" s="2" t="s">
        <v>107</v>
      </c>
      <c r="B466">
        <v>2013</v>
      </c>
      <c r="C466">
        <v>2003</v>
      </c>
    </row>
    <row r="467" spans="1:3" x14ac:dyDescent="0.2">
      <c r="A467" s="2" t="s">
        <v>111</v>
      </c>
      <c r="B467">
        <v>2013</v>
      </c>
      <c r="C467">
        <v>2002</v>
      </c>
    </row>
    <row r="468" spans="1:3" x14ac:dyDescent="0.2">
      <c r="A468" s="2" t="s">
        <v>114</v>
      </c>
      <c r="B468">
        <v>2013</v>
      </c>
      <c r="C468">
        <v>2001</v>
      </c>
    </row>
    <row r="469" spans="1:3" x14ac:dyDescent="0.2">
      <c r="A469" s="2" t="s">
        <v>117</v>
      </c>
      <c r="B469">
        <v>2013</v>
      </c>
      <c r="C469">
        <v>2000</v>
      </c>
    </row>
    <row r="470" spans="1:3" x14ac:dyDescent="0.2">
      <c r="A470" s="2" t="s">
        <v>120</v>
      </c>
      <c r="B470">
        <v>2013</v>
      </c>
      <c r="C470">
        <v>2002</v>
      </c>
    </row>
    <row r="471" spans="1:3" x14ac:dyDescent="0.2">
      <c r="A471" s="2" t="s">
        <v>123</v>
      </c>
      <c r="B471">
        <v>2013</v>
      </c>
      <c r="C471">
        <v>2010</v>
      </c>
    </row>
    <row r="472" spans="1:3" x14ac:dyDescent="0.2">
      <c r="A472" s="2" t="s">
        <v>126</v>
      </c>
      <c r="B472">
        <v>2013</v>
      </c>
      <c r="C472">
        <v>2000</v>
      </c>
    </row>
    <row r="473" spans="1:3" x14ac:dyDescent="0.2">
      <c r="A473" s="2" t="s">
        <v>129</v>
      </c>
      <c r="B473">
        <v>2013</v>
      </c>
      <c r="C473">
        <v>2004</v>
      </c>
    </row>
    <row r="474" spans="1:3" x14ac:dyDescent="0.2">
      <c r="A474" s="2" t="s">
        <v>133</v>
      </c>
      <c r="B474">
        <v>2013</v>
      </c>
      <c r="C474">
        <v>2000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Bheights</vt:lpstr>
      <vt:lpstr>BheightCalcs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Glenn John Dunshea</cp:lastModifiedBy>
  <dcterms:created xsi:type="dcterms:W3CDTF">2022-11-28T19:48:04Z</dcterms:created>
  <dcterms:modified xsi:type="dcterms:W3CDTF">2025-10-26T15:47:08Z</dcterms:modified>
</cp:coreProperties>
</file>